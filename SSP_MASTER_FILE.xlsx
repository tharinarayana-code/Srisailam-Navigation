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<sst xmlns="http://schemas.openxmlformats.org/spreadsheetml/2006/main" count="1179" uniqueCount="929">
  <si>
    <t>ID</t>
  </si>
  <si>
    <t>Display Name</t>
  </si>
  <si>
    <t>Latitude</t>
  </si>
  <si>
    <t>Longitude</t>
  </si>
  <si>
    <t>Category</t>
  </si>
  <si>
    <t>name_te</t>
  </si>
  <si>
    <t>name_hi</t>
  </si>
  <si>
    <t>name_ta</t>
  </si>
  <si>
    <t>name_kn</t>
  </si>
  <si>
    <t>name_ml</t>
  </si>
  <si>
    <t>description_en</t>
  </si>
  <si>
    <t>description_te</t>
  </si>
  <si>
    <t>description_hi</t>
  </si>
  <si>
    <t>description_ta</t>
  </si>
  <si>
    <t>description_kn</t>
  </si>
  <si>
    <t>description_ml</t>
  </si>
  <si>
    <t>Free Darshanam Entrance Gate, Srisailam</t>
  </si>
  <si>
    <t>SARVA DARSHANAM ENTRANCE</t>
  </si>
  <si>
    <t>సర్వ దర్శనం ప్రవేశ ద్వారం</t>
  </si>
  <si>
    <t>नि:शुल्क दर्शन प्रवेश द्वार</t>
  </si>
  <si>
    <t>இலவச தரிசனம் நுழைவு வாயில்</t>
  </si>
  <si>
    <t>ಉಚಿತ ದರ್ಶನ ಪ್ರವೇಶ ದ್ವಾರ</t>
  </si>
  <si>
    <t>സൗജന്യ ദർശന പ്രവേശന കവാടം</t>
  </si>
  <si>
    <t>Sri Bhramaramba Mallikarjuna Swamy Vara Devasthanam (Main Temple)</t>
  </si>
  <si>
    <t>TEMPLE</t>
  </si>
  <si>
    <t>श्री भ्रमराम्बा मल्लिकार्जुन स्वामी वर देवस्थानम (मुख्य मंदिर)</t>
  </si>
  <si>
    <t>ஸ்ரீ பிரம்மராம்பா மல்லிகார்ஜுன ஸ்வாமி வர தேவஸ்தானம் (முக்கிய கோவில்)</t>
  </si>
  <si>
    <t>ಶ್ರೀ ಭ್ರಮರಾಂಬಾ ಮಲ್ಲಿಕಾರ್ಜುನ ಸ್ವಾಮಿ ವರ ದೇವಸ್ಥಾನ (ಮುಖ್ಯ ದೇವಾಲಯ)</t>
  </si>
  <si>
    <t>ശ്രീ ഭ്രമരാംബ മല്ലികാർജ്ജുന സ്വാമി വര ദേവസ്ഥാനം (പ്രധാന ക്ഷേത്രം)</t>
  </si>
  <si>
    <t>This is the main temple complex of Srisailam, dedicated to Lord Mallikarjuna and Goddess Bhramaramba. It is one of the twelve Jyotirlingas of Lord Shiva. The temple is a major pilgrimage center attracting devotees from across the country.</t>
  </si>
  <si>
    <t>South Gopuram of Mallikarjuna Swamy Temple</t>
  </si>
  <si>
    <t>మల్లికార్జున స్వామి ఆలయ దక్షిణ గోపురం</t>
  </si>
  <si>
    <t>मल्लिकार्जुन स्वामी मंदिर का दक्षिण गोपुरम</t>
  </si>
  <si>
    <t>மல்லிகார்ஜுன ஸ்வாமி கோவிலின் தெற்கு கோபுரம்</t>
  </si>
  <si>
    <t>ಮಲ್ಲಿಕಾರ್ಜುನ ಸ್ವಾಮಿ ದೇವಾಲಯದ ದಕ್ಷಿಣ ಗೋಪುರ</t>
  </si>
  <si>
    <t>മല്ലികാർജ്ജുന സ്വാമി ക്ഷേത്രത്തിന്റെ തെക്കേ ഗോപുരം</t>
  </si>
  <si>
    <t>The South Gopuram is one of the main gateway towers of the Mallikarjuna Swamy Temple in Srisailam.
It reflects traditional Dravidian temple architecture and detailed craftsmanship.
The gopuram serves as an important entrance for devotees.</t>
  </si>
  <si>
    <t>Sri Sakshi Ganapathi Swamy Temple</t>
  </si>
  <si>
    <t>This temple is dedicated to Lord Ganesha, believed to bear witness to the pilgrimage to Srisailam. Devotees traditionally visit this temple before or after main darshan. It is considered an important ritual stop.</t>
  </si>
  <si>
    <t>Hatakeswaram Temple</t>
  </si>
  <si>
    <t>Hatakeswaram Temple is an ancient Shiva shrine in Srisailam. It is mentioned in traditional references of the region. Devotees visit for peaceful worship.</t>
  </si>
  <si>
    <t>Kumara Viharam</t>
  </si>
  <si>
    <t xml:space="preserve">కుమార విహారం </t>
  </si>
  <si>
    <t>कुमार विहार</t>
  </si>
  <si>
    <t xml:space="preserve"> குமார விஹாரம்</t>
  </si>
  <si>
    <t xml:space="preserve">ಕುಮಾರ ವಿಹಾರ </t>
  </si>
  <si>
    <t>കുമാര വിഹാരം</t>
  </si>
  <si>
    <t>Kumara Viharam is a sacred structure located in the Srisailam temple region.It is associated with the worship of Lord Kumara (Subrahmanya), the son of Lord Shiva.
The place is visited by devotees as part of their spiritual journey in Srisailam.</t>
  </si>
  <si>
    <t>Saptha Matrukalu (Seven Mother Goddesses)</t>
  </si>
  <si>
    <t>సప్త మాతృకలు</t>
  </si>
  <si>
    <t>सप्त मातृकाएँ</t>
  </si>
  <si>
    <t>சப்த மாத்ருகைகள்</t>
  </si>
  <si>
    <t>ಸಪ್ತ ಮಾತೃಕೆಗಳು</t>
  </si>
  <si>
    <t>സപ്ത മാതൃകകൾ</t>
  </si>
  <si>
    <t>Saptha Matrukalu represents the seven mother goddesses worshipped in the Srisailam region.
Each goddess symbolizes divine feminine power and protection.
The shrine holds religious importance and is visited by devotees seeking blessings.</t>
  </si>
  <si>
    <t>Srisaila Jagadguru Panditaradhya Peetham</t>
  </si>
  <si>
    <t>శ్రీశైల జగద్గురు పండితారాధ్య పీఠం</t>
  </si>
  <si>
    <t>श्रीशैल जगद्गुरु पंडिताराध्य पीठ</t>
  </si>
  <si>
    <t>ஸ்ரீசைல ஜகத்குரு பண்டிதாராத்ய பீடம்</t>
  </si>
  <si>
    <t>ಶ್ರೀಶೈಲ ಜಗದ್ಗುರು ಪಂಡಿತಾರಾಧ್ಯ ಪೀಠ</t>
  </si>
  <si>
    <t>ശ്രീശൈല ജഗദ്ഗുരു പണ്ഡിതാരാധ്യ പീഠം</t>
  </si>
  <si>
    <t>Srisaila Jagadguru Panditaradhya Peetham is a prominent Shaiva religious institution in Srisailam.
It is associated with spiritual teachings, traditions, and religious activities.
The Peetham plays a significant role in preserving Shaiva philosophy in the region.</t>
  </si>
  <si>
    <t>Maha Nandi (Nandyal)</t>
  </si>
  <si>
    <t>మహా నంది (నంద్యాల)</t>
  </si>
  <si>
    <t>महा नंदी (नंद्याल)</t>
  </si>
  <si>
    <t>மகா நந்தி (நந்தியால்)</t>
  </si>
  <si>
    <t>ಮಹಾ ನಂದಿ (ನಂದ್ಯಾಲ)</t>
  </si>
  <si>
    <t>മഹാ നന്ദി (നന്ദ്യാൽ)</t>
  </si>
  <si>
    <t>Maha Nandi is a sacred representation of Nandi, the divine vehicle of Lord Shiva, located in Srisailam.
It is traditionally associated with the Nandyal region and brought here for worship.
Devotees offer prayers to Nandi as part of their visit to the Mallikarjuna Swamy Temple.</t>
  </si>
  <si>
    <t>Jammi Chettu</t>
  </si>
  <si>
    <t>జమ్మి చెట్టు</t>
  </si>
  <si>
    <t>जमी वृक्ष</t>
  </si>
  <si>
    <t>ஜம்மி மரம்</t>
  </si>
  <si>
    <t>ಜಮ್ಮಿ ಮರ</t>
  </si>
  <si>
    <t>ജമ്മി വൃക്ഷം</t>
  </si>
  <si>
    <t>Jammi Chettu is a sacred tree located within the Srisailam temple surroundings.
It is closely associated with mythological traditions and Vijayadashami rituals.
Devotees consider the tree highly auspicious and spiritually significant.</t>
  </si>
  <si>
    <t>Chandramathi Statue</t>
  </si>
  <si>
    <t>చంద్రమతి విగ్రహం</t>
  </si>
  <si>
    <t>चंद्रमती प्रतिमा</t>
  </si>
  <si>
    <t>சந்திரமதி சிலை</t>
  </si>
  <si>
    <t>ಚಂದ್ರಮತಿ ಪ್ರತಿಮೆ</t>
  </si>
  <si>
    <t>ചന്ദ്രമതി പ്രതിമ</t>
  </si>
  <si>
    <t>The Chandramathi Statue in Srisailam represents Queen Chandramathi from Hindu mythology.
She is remembered for her devotion, patience, and righteousness.
The statue symbolizes moral values and spiritual strength.</t>
  </si>
  <si>
    <t>Yagna Shala</t>
  </si>
  <si>
    <t>యజ్ఞశాల</t>
  </si>
  <si>
    <t>यज्ञशाला</t>
  </si>
  <si>
    <t>யாகசாலை</t>
  </si>
  <si>
    <t>ಯಜ್ಞಶಾಲೆ</t>
  </si>
  <si>
    <t>യജ്ഞശാല</t>
  </si>
  <si>
    <t>Yagna Shala is a sacred ritual space located in the Srisailam temple area.
It is used for performing yagnas, homams, and Vedic fire rituals.
The place holds ritual purity and spiritual importance.</t>
  </si>
  <si>
    <t>Mallamma Kanneeru Temple</t>
  </si>
  <si>
    <t>This temple is associated with the story of Mallamma, a devoted follower connected to Srisailam traditions. A sacred water source nearby is believed to have spiritual importance. Devotees visit the temple seeking blessings and peace.</t>
  </si>
  <si>
    <t>Sree Nidanapati Sree Prasanna Lakshmi Amarajyoti Peetham</t>
  </si>
  <si>
    <t>శ్రీ నిదానపతి శ్రీ ప్రసన్న లక్ష్మీ అమరోజ్యోతి పీఠం</t>
  </si>
  <si>
    <t>श्री निदानपति श्री प्रसन्न लक्ष्मी अमरोज्योति पीठ</t>
  </si>
  <si>
    <t>ஸ்ரீ நிதானபதி ஸ்ரீ பிரசன்ன லக்ஷ்மி அமரோஜ்யோதி பீடம்</t>
  </si>
  <si>
    <t>ಶ್ರೀ ನಿದಾನಪತಿ ಶ್ರೀ ಪ್ರಸನ್ನ ಲಕ್ಷ್ಮೀ ಅಮರೋಜ್ಯೋತಿ ಪೀಠ</t>
  </si>
  <si>
    <t>ശ്രീ നിദാനപതി ശ്രീ പ്രസന്ന ലക്ഷ്മി അമരോജ്യോതി പീഠം</t>
  </si>
  <si>
    <t>This peetham is dedicated to Goddess Lakshmi and serves as a spiritual center in Srisailam. It is known for regular worship, prayers, and religious activities. Devotees visit for prosperity and well-being.</t>
  </si>
  <si>
    <t>Sri Vemanaaradhya Peetham</t>
  </si>
  <si>
    <t>This peetham is associated with the Shaivite saint tradition linked to Srisailam. It serves as a place for spiritual learning and devotion. Visitors come here for guidance and religious reflection.</t>
  </si>
  <si>
    <t>Mahishasura Mardini Temple</t>
  </si>
  <si>
    <t>Dedicated to Goddess Durga in her Mahishasura Mardini form, this temple represents the victory of good over evil. It is an important Shakti worship site in Srisailam. Devotees offer prayers for strength and protection.</t>
  </si>
  <si>
    <t>Sri Chamundeshwari Aalayam</t>
  </si>
  <si>
    <t>This temple is dedicated to Goddess Chamundeshwari, a powerful form of Durga. It is worshipped by devotees seeking courage and divine blessings. The temple holds religious importance within the Srisailam region.</t>
  </si>
  <si>
    <t>Pancha Mukha Siva Temple</t>
  </si>
  <si>
    <t>This Shiva temple houses a five-faced Shiva Lingam symbolizing different aspects of Lord Shiva. It is a spiritually significant shrine in Srisailam. Devotees visit for peace and divine grace.</t>
  </si>
  <si>
    <t>SGS Avadhoota Datta Peetham</t>
  </si>
  <si>
    <t>A spiritual center associated with the Datta tradition, located in Srisailam. It is known for religious discourses, meditation, and prayers. Devotees visit seeking spiritual guidance and blessings.</t>
  </si>
  <si>
    <t>Srisailam Panditharadhya Peetham</t>
  </si>
  <si>
    <t>This peetham is associated with Shaivite scholars and religious traditions of Srisailam. It serves as a center for worship and spiritual learning. Devotees visit for religious observances and guidance.</t>
  </si>
  <si>
    <t>Sri Manikeswari Matha Temple</t>
  </si>
  <si>
    <t>శ్రీ మాణికేశ్వరి మఠం</t>
  </si>
  <si>
    <t>श्री माणिकेश्वरी मठ</t>
  </si>
  <si>
    <t>ஸ்ரீ மாணிகேஸ்வரி மடம்</t>
  </si>
  <si>
    <t>ಶ್ರೀ ಮಾಣಿಕೇಶ್ವರಿ ಮಠ</t>
  </si>
  <si>
    <t>ശ്രീ മാണികേശ്വരി മഠം</t>
  </si>
  <si>
    <t>This temple is dedicated to Goddess Manikeswari, worshipped as a local form of Shakti. It holds spiritual importance for devotees in Srisailam. Visitors seek blessings for prosperity and protection.</t>
  </si>
  <si>
    <t>Srisailam Temple</t>
  </si>
  <si>
    <t>The Srisailam Temple is an ancient shrine dedicated to Lord Mallikarjuna, located on the Nallamala Hills. It is one of the most sacred Shiva temples in India. The temple is known for its religious significance and architectural heritage.</t>
  </si>
  <si>
    <t>Pathalaganga, Srisailam</t>
  </si>
  <si>
    <t>Pathalaganga is a sacred bathing ghat on the Krishna River near the Srisailam Temple. Pilgrims take a holy dip here before proceeding for darshan. The site holds spiritual importance and scenic beauty.</t>
  </si>
  <si>
    <t>Paladhara–Panchadhara</t>
  </si>
  <si>
    <t>These are sacred streams located in the forested region of Srisailam. They are associated with religious beliefs and ancient traditions. Devotees and visitors come here for spiritual and natural significance.</t>
  </si>
  <si>
    <t>Chhatrapati Shivaji Maharaj Temple, Srisailam</t>
  </si>
  <si>
    <t>ఛత్రపతి శివాజీ మహారాజ ఆలయం, శ్రీశైలం</t>
  </si>
  <si>
    <t>छत्रपति शिवाजी महाराज मंदिर, श्रीशैलम</t>
  </si>
  <si>
    <t>சத்ரபதி சிவாஜி மகாராஜ் கோவில், ஸ்ரீசைலம்</t>
  </si>
  <si>
    <t>ಛತ್ರಪತಿ ಶಿವಾಜಿ ಮಹಾರಾಜ ದೇವಸ್ಥಾನ, ಶ್ರೀಶೈಲಂ</t>
  </si>
  <si>
    <t>This temple commemorates the visit and devotion of Chhatrapati Shivaji Maharaj to Srisailam. It reflects the historical and spiritual connection of the region. Devotees visit as part of temple exploration.</t>
  </si>
  <si>
    <t>Chhatrapati Shivaji Maharaj Temple Entrance</t>
  </si>
  <si>
    <t>ఛత్రపతి శివాజీ మహారాజ ఆలయ ప్రవేశ ద్వారం</t>
  </si>
  <si>
    <t>छत्रपति शिवाजी महाराज मंदिर प्रवेश द्वार</t>
  </si>
  <si>
    <t>சத்ரபதி சிவாஜி மகாராஜ் கோவில் நுழைவு வாசல்</t>
  </si>
  <si>
    <t>ಛತ್ರಪತಿ ಶಿವಾಜಿ ಮಹಾರಾಜ ದೇವಸ್ಥಾನ ಪ್ರವೇಶ ದ್ವಾರ</t>
  </si>
  <si>
    <t>This is the entrance gateway leading to the Shivaji Maharaj Temple in Srisailam. It serves as the main access point for visitors. The entrance is marked as a notable landmark.</t>
  </si>
  <si>
    <t>Pancha Bhoota Shiva Lingas</t>
  </si>
  <si>
    <t>These Shiva Lingas represent the five natural elements according to Shaivite belief. They hold spiritual importance within the Srisailam temple area. Devotees worship them as part of traditional rituals.</t>
  </si>
  <si>
    <t>Vrudda Lingeshwara Swamy Temple</t>
  </si>
  <si>
    <t>This ancient temple represents an aged form of Lord Shiva. It is believed to be spiritually significant in Srisailam traditions. Devotees visit seeking peace and blessings.</t>
  </si>
  <si>
    <t>Thriphala Vruksham (Ravi)</t>
  </si>
  <si>
    <t>This sacred tree is associated with traditional religious beliefs in Srisailam. Devotees offer prayers and perform rituals near the tree. It is considered spiritually significant.</t>
  </si>
  <si>
    <t>Sri Rajarajeshwari Devi Temple</t>
  </si>
  <si>
    <t>This temple is dedicated to Goddess Rajarajeshwari, a form of Shakti. Devotees worship here for prosperity and spiritual strength. It is an important religious site in Srisailam.</t>
  </si>
  <si>
    <t>Chhatrapati Shivaji Maharaj Gopuram</t>
  </si>
  <si>
    <t>This gopuram was built in memory of Chhatrapati Shivaji Maharaj’s visit to Srisailam. It stands as a prominent architectural landmark. Visitors pass through it while exploring the temple area.</t>
  </si>
  <si>
    <t>Shree Mallikarjuna Temple Kund</t>
  </si>
  <si>
    <t>శ్రీ మల్లికార్జున ఆలయ కుండ</t>
  </si>
  <si>
    <t>श्री मल्लिकार्जुन मंदिर कुंड</t>
  </si>
  <si>
    <t>ஸ்ரீ மல்லிகார்ஜுன கோவில் குண்டம்</t>
  </si>
  <si>
    <t>ಶ್ರೀ ಮಲ್ಲಿಕಾರ್ಜುನ ದೇವಸ್ಥಾನ ಕುಂಡ</t>
  </si>
  <si>
    <t>This sacred water kund is associated with rituals of the Mallikarjuna Temple. Devotees use it for purification purposes. It holds religious importance in temple traditions.</t>
  </si>
  <si>
    <t>Ishtakaameshwari Devi Temple</t>
  </si>
  <si>
    <t>This temple is dedicated to Goddess Ishtakaameshwari, located in the Srisailam forest region. Devotees believe sincere prayers here fulfill wishes. It is considered an important Shakti shrine.</t>
  </si>
  <si>
    <t>Sri Uma Rama Lingeshwaraswamy Vari Temple</t>
  </si>
  <si>
    <t>This temple worships Lord Shiva along with Uma and Rama aspects. It is known for its peaceful environment. Devotees visit for regular prayers and spiritual calmness.</t>
  </si>
  <si>
    <t>Sri Ankalamma Grama Devatha</t>
  </si>
  <si>
    <t>This temple is dedicated to Ankalamma, the village deity of the region. Locals worship here for protection and community well-being. It plays an important role in local traditions.</t>
  </si>
  <si>
    <t>Pathala Ganga Steps Way</t>
  </si>
  <si>
    <t>This stone steps pathway leads pilgrims down to Pathalaganga. It is used by devotees accessing the sacred river ghat. The pathway is an important part of the pilgrimage route.</t>
  </si>
  <si>
    <t>Sri Bayalu Veerabhadra Swamy Temple</t>
  </si>
  <si>
    <t>This open-air temple is dedicated to Lord Veerabhadra. Devotees worship here seeking strength and protection. It holds religious importance in Srisailam.</t>
  </si>
  <si>
    <t>Sri Kanchi Kamakoti Peetham</t>
  </si>
  <si>
    <t>This peetham follows the Kanchi Kamakoti spiritual tradition. It serves as a religious center for prayers and spiritual activities. Devotees visit for blessings and guidance.</t>
  </si>
  <si>
    <t>Sri Aarama Veerabhadra Swamy Aalayam</t>
  </si>
  <si>
    <t>This temple is dedicated to Lord Veerabhadra and located in a calm environment. It is visited by devotees for worship and prayers. The temple is part of Srisailam’s religious landscape.</t>
  </si>
  <si>
    <t>Varahi Vajreshwari Chandra Lingam</t>
  </si>
  <si>
    <t>This shrine is associated with Varahi and Vajreshwari forms along with a Chandra Lingam. It holds spiritual importance in Srisailam worship traditions. Devotees visit for divine blessings.</t>
  </si>
  <si>
    <t>Sri Srikhareswara Temple</t>
  </si>
  <si>
    <t>This temple is dedicated to Lord Srikhareswara, a form of Lord Shiva. It is an important worship site in Srisailam. Devotees come seeking blessings and spiritual peace.</t>
  </si>
  <si>
    <t>Sri Sri Sri Lalitha Devi Peetham</t>
  </si>
  <si>
    <t>This peetham is dedicated to Goddess Lalitha Devi. It is associated with Shakti worship and religious practices. Devotees visit for spiritual growth and blessings.</t>
  </si>
  <si>
    <t>Srisailam Devasthanam Kala Vedika</t>
  </si>
  <si>
    <t>श्रीशैलम देवस्थान कला वेदिका</t>
  </si>
  <si>
    <t>ஸ்ரீசைலம் தேவஸ்தானம் கலா மேடை</t>
  </si>
  <si>
    <t>ശ്രീശൈലം ദേവസ്ഥാനം കലാ വേദി</t>
  </si>
  <si>
    <t>Srisailam Devasthanam Kala Vedika is a cultural and spiritual auditorium managed by the Srisailam Devasthanam.</t>
  </si>
  <si>
    <t>AP Tourism Hotel – Haritha</t>
  </si>
  <si>
    <t>ACCOMMODATION</t>
  </si>
  <si>
    <t>It is used for religious discourses, cultural programs, meetings, and official temple events.</t>
  </si>
  <si>
    <t>Srisailam Online Room Booking – OLRB</t>
  </si>
  <si>
    <t>Official online system used for booking temple-managed accommodation in Srisailam.</t>
  </si>
  <si>
    <t>Sri Bhramaramba Guest House</t>
  </si>
  <si>
    <t>శ్రీ భ్రమరాంబ గెస్ట్ హౌస్</t>
  </si>
  <si>
    <t>श्री भ्रमराम्बा गेस्ट हाउस</t>
  </si>
  <si>
    <t>ஸ்ரீ ப்ரமராம்பா விருந்தினர் மாளிகை</t>
  </si>
  <si>
    <t>ಶ್ರೀ ಭ್ರಮರಾಂಬ ಗೆಸ್ಟ್ ಹೌಸ್</t>
  </si>
  <si>
    <t>ശ്രീ ഭ്രമരാംബ ഗസ്റ്റ് ഹൗസ്</t>
  </si>
  <si>
    <t>Temple-associated guest house offering basic lodging near the main temple area.</t>
  </si>
  <si>
    <t>Railway Guest House, Neelakanta Sadan</t>
  </si>
  <si>
    <t>Guest house maintained for railway staff and pilgrims with basic stay facilities.</t>
  </si>
  <si>
    <t>Karnataka Guest House</t>
  </si>
  <si>
    <t>Accommodation facility mainly used by pilgrims visiting from Karnataka state.</t>
  </si>
  <si>
    <t>Rudra Cottage</t>
  </si>
  <si>
    <t>Pilgrim cottage providing simple accommodation near the temple surroundings.</t>
  </si>
  <si>
    <t>Kamineni Cottage</t>
  </si>
  <si>
    <t>Adithya Cottage</t>
  </si>
  <si>
    <t>Cottage-style accommodation suitable for families and short pilgrim stays.</t>
  </si>
  <si>
    <t>Vishnu Vallabha</t>
  </si>
  <si>
    <t>Pilgrim lodging facility offering affordable stay near the temple area.</t>
  </si>
  <si>
    <t>Sri Nandeswara Dormitory</t>
  </si>
  <si>
    <t>Dormitory accommodation providing shared lodging for group pilgrims.</t>
  </si>
  <si>
    <t>SSS (Srisaila Siva Shankara) Deluxe Dormitory</t>
  </si>
  <si>
    <t>SSS (శ్రీశైలం శివ శంకర) డీలక్స్ డార్మిటరీ</t>
  </si>
  <si>
    <t>एसएसएस (श्रीशैलम शिव शंकर) डीलक्स छात्रावास</t>
  </si>
  <si>
    <t>SSS (ஸ்ரீசைலம் சிவ சங்கர) டீலக்ஸ் தங்குமிடம்</t>
  </si>
  <si>
    <t>SSS (ಶ್ರೀಶೈಲಂ ಶಿವ ಶಂಕರ) ಡೀಲಕ್ಸ್ ಡಾರ್ಮಿಟರಿ</t>
  </si>
  <si>
    <t>SSS (ശ്രീശൈലം ശിവ ശങ്കര) ഡീലക്സ്സ് ഡോർമിറ്ററി</t>
  </si>
  <si>
    <t>Enhanced dormitory facility offering better amenities for group stays.</t>
  </si>
  <si>
    <t>Vasavi Vihar</t>
  </si>
  <si>
    <t>Community-managed accommodation facility providing lodging for pilgrims.</t>
  </si>
  <si>
    <t>Vasavi Satram</t>
  </si>
  <si>
    <t>Vasavi – 2 (New Building)</t>
  </si>
  <si>
    <t>Newly constructed building providing additional accommodation for pilgrims.</t>
  </si>
  <si>
    <t>Srisailam Shivashakthi Sena Charities</t>
  </si>
  <si>
    <t>శ్రీశైలం శివశక్తి సేవా స్వచ్ఛంద సంస్థలు</t>
  </si>
  <si>
    <t>शिवशक्ति सेवा चैरिटीज़</t>
  </si>
  <si>
    <t>ஸ்ரீசைலம் சிவசக்தி சேவா தொண்டு நிறுவனங்கள்</t>
  </si>
  <si>
    <t>ಶ್ರೀಶೈಲಂ ಶಿವಶಕ್ತಿ ಸೇವಾ ಚಾರಿಟೀಸ್</t>
  </si>
  <si>
    <t>ശ്രീശൈലം ശിവശക്തി സേവാ ചാരിറ്റീസ്</t>
  </si>
  <si>
    <t>Charitable organization offering accommodation and pilgrim support services.</t>
  </si>
  <si>
    <t>Akhila Bharatha Vamsharaj Nithya Annadana Satram</t>
  </si>
  <si>
    <t>अखिला भरत वंश नित्य अन्नदाना सत्रम्</t>
  </si>
  <si>
    <t>அகில இந்திய வம்ச நித்ய அன்னதான சத்ரம்</t>
  </si>
  <si>
    <t>ಅಖಿಲ ಭಾರತ ವಂಶ ನಿತ್ಯ ಅನ್ನದಾನ ಸತ್ರ</t>
  </si>
  <si>
    <t>അഖില ഭാരത വംശ നിത്യ അന്നദാന സത്രം</t>
  </si>
  <si>
    <t>Charitable satram providing free food and basic shelter to pilgrims.</t>
  </si>
  <si>
    <t>Gouri Nitya Annadanam Satram</t>
  </si>
  <si>
    <t>Satram dedicated to daily annadanam and pilgrim support services.</t>
  </si>
  <si>
    <t>Sri Surya Bhagavan Surya Balija Satram</t>
  </si>
  <si>
    <t>Community-run satram providing accommodation and annadanam facilities.</t>
  </si>
  <si>
    <t>Mahendra Medara Sangam Satram</t>
  </si>
  <si>
    <t>Community-managed satram offering lodging facilities for pilgrims.</t>
  </si>
  <si>
    <t>Sri Saiva Maha Peetam Sakha</t>
  </si>
  <si>
    <t>Shaivite religious organization facility providing pilgrim accommodation.</t>
  </si>
  <si>
    <t>Phoenix Sankara Nilayam</t>
  </si>
  <si>
    <t>Pilgrim lodging facility offering basic stay arrangements.</t>
  </si>
  <si>
    <t>Devathilakula Annadana Choultry</t>
  </si>
  <si>
    <t>దేవతకుల అన్నదాన చౌల్ట్రీ</t>
  </si>
  <si>
    <t>देवथकुला अन्नदाना चौलट्री</t>
  </si>
  <si>
    <t>தேவதகுல அன்னதான சத்திரம்</t>
  </si>
  <si>
    <t>ದೇವತಕುಲ ಅನ್ನದಾನ ಚೌಲ್ಟ್ರಿ</t>
  </si>
  <si>
    <t>ദേവതകുല അന്നദാന ചൗൾട്രി</t>
  </si>
  <si>
    <t>Charitable choultry providing free meals and resting space for pilgrims.</t>
  </si>
  <si>
    <t>Ganga Block</t>
  </si>
  <si>
    <t>Accommodation block providing rooms for temple visitors.</t>
  </si>
  <si>
    <t>Saraswati Block</t>
  </si>
  <si>
    <t>Pilgrim accommodation block offering simple rooms near temple area.</t>
  </si>
  <si>
    <t>Ganesha Sadan</t>
  </si>
  <si>
    <t>Pilgrim rest house providing basic lodging facilities.</t>
  </si>
  <si>
    <t>Yadava Satram</t>
  </si>
  <si>
    <t>Community-run satram offering accommodation for Yadava devotees.</t>
  </si>
  <si>
    <t>Ganga Sadan</t>
  </si>
  <si>
    <t>Pilgrim lodging facility located near the Pathala Ganga area.</t>
  </si>
  <si>
    <t>Lingayat Satram</t>
  </si>
  <si>
    <t>Satram managed by Lingayat community trust for pilgrim accommodation.</t>
  </si>
  <si>
    <t>Kshatriya Satram, Srisailam</t>
  </si>
  <si>
    <t>Community-managed satram providing lodging for Kshatriya devotees.</t>
  </si>
  <si>
    <t>Velama Satram, Srisailam</t>
  </si>
  <si>
    <t>Satram offering accommodation support for Velama community pilgrims.</t>
  </si>
  <si>
    <t>Reddy Satram</t>
  </si>
  <si>
    <t>Community-run satram providing lodging facilities for pilgrims.</t>
  </si>
  <si>
    <t>Sri Purava Vamsha Mudiraj Rooms</t>
  </si>
  <si>
    <t>శ్రీ పురవంశ ముదిరాజ్ రూములు</t>
  </si>
  <si>
    <t>श्री पुरवंश मुदिराज कक्ष</t>
  </si>
  <si>
    <t>ஸ்ரீ புரவம்ச முதிராஜ் அறைகள்</t>
  </si>
  <si>
    <t>ಶ್ರೀ ಪುರವಂಶ ಮುಧಿರಾಜ್ ರೂಮ್ಸ್</t>
  </si>
  <si>
    <t>ശ്രീ പുരവംശ മുദിരാജ് റൂമുകൾ</t>
  </si>
  <si>
    <t>Accommodation rooms maintained by Mudiraj community for pilgrims.</t>
  </si>
  <si>
    <t>Sagara Or Uppara Satram</t>
  </si>
  <si>
    <t>Community-managed satram offering basic lodging facilities.</t>
  </si>
  <si>
    <t>Are Katika Satram</t>
  </si>
  <si>
    <t>Satram run by Katika community providing pilgrim accommodation.</t>
  </si>
  <si>
    <t>Akhila Bharata Arya Vysya Annapurna Satram</t>
  </si>
  <si>
    <t>Charitable satram offering free meals and accommodation to pilgrims.</t>
  </si>
  <si>
    <t>Sri Sarana Basaweswara Sadasivaah Anna Satram</t>
  </si>
  <si>
    <t>శ్రీ శరణ బసవేశ్వర సదాశివ అన్నసత్రం</t>
  </si>
  <si>
    <t>ஸ்ரீ சரண பசவேஸ்வர சதாசிவ அன்ன சத்ரம்</t>
  </si>
  <si>
    <t>ಶ್ರೀ ಶರಣ ಬಸವೇಶ್ವರ ಸದಾಶಿವ ಅನ್ನ ಸತ್ರ</t>
  </si>
  <si>
    <t>ശ്രീ ശരണ ബസവേശ്വര സദാശിവ അന്ന സത്രം</t>
  </si>
  <si>
    <t>Charitable satram focused on annadanam and pilgrim support.</t>
  </si>
  <si>
    <t>Sri Chowdeshwari Annadana Satram, Srisailam</t>
  </si>
  <si>
    <t>Satram providing free food and services for pilgrims.</t>
  </si>
  <si>
    <t>Padmashali Satram</t>
  </si>
  <si>
    <t>Community-run satram providing accommodation for Padmashali devotees.</t>
  </si>
  <si>
    <t>Koundinya Gowda Satram</t>
  </si>
  <si>
    <t>Satram managed by Gowda community offering lodging for pilgrims.</t>
  </si>
  <si>
    <t>Kakatiya Anna Satra Sangam</t>
  </si>
  <si>
    <t>Organization providing annadanam and basic pilgrim facilities.</t>
  </si>
  <si>
    <t>Neelam Sanjeeva Reddy Bhavan</t>
  </si>
  <si>
    <t>Pilgrim accommodation facility named after Neelam Sanjeeva Reddy.</t>
  </si>
  <si>
    <t>Sri Mallikarjuna Annasatra Sangam &amp; T.G. Lakshmi Venkatesh Bhavan</t>
  </si>
  <si>
    <t>Charitable complex providing free food and accommodation to pilgrims.</t>
  </si>
  <si>
    <t>Pathaleswara Sadanam</t>
  </si>
  <si>
    <t>Pilgrim lodging facility offering simple accommodation near Pathaleswara area.</t>
  </si>
  <si>
    <t>Akhila Bharata Vaddera Srisaila Kshetra Vidya Raja (Vaddu)</t>
  </si>
  <si>
    <t>అఖిల భారత వడ్డెర శ్రీశైలం క్షేత్ర విద్యా రాజా (వడ్డు)</t>
  </si>
  <si>
    <t>அகில இந்திய வட்டேர ஸ்ரீசைலம் க்ஷேத்ர வித்யா ராஜா (வட்து)</t>
  </si>
  <si>
    <t>ಅಖಿಲ ಭಾರತ ವಡ್ಡೆರ ಶ್ರೀಶೈಲಂ ಕ್ಷೇತ್ರ ವಿದ್ಯಾ ರಾಜ (ವಡ್ಡು)</t>
  </si>
  <si>
    <t>അഖില ഭാരത വഡ്ഡെര ശ്രീശൈലം ക്ഷേത്ര വിദ്യാ രാജ (വഡ്ഡു)</t>
  </si>
  <si>
    <t>Community-run satram providing accommodation for Vaddera devotees.</t>
  </si>
  <si>
    <t>Karnabhaktula Sevasadan</t>
  </si>
  <si>
    <t>Service-oriented pilgrim accommodation center offering basic facilities.</t>
  </si>
  <si>
    <t>Sri Krishna Devaraya Kapu Satram &amp; Charitable Trust</t>
  </si>
  <si>
    <t>Community-managed satram providing accommodation and pilgrim services.</t>
  </si>
  <si>
    <t>Uma Ramalingeswara Devanga Satram</t>
  </si>
  <si>
    <t>Devanga community satram offering lodging for pilgrims.</t>
  </si>
  <si>
    <t>Akhila Bharata Srisaila Shalivahana Kummara Satram</t>
  </si>
  <si>
    <t>Community-run satram providing accommodation and support to pilgrims.</t>
  </si>
  <si>
    <t>Sri Sadasivananda Ashram</t>
  </si>
  <si>
    <t>ASHRAM</t>
  </si>
  <si>
    <t>శ్రీ సదాశివానంద ఆశ్రమం</t>
  </si>
  <si>
    <t>श्री सदाशिवानंद आश्रम</t>
  </si>
  <si>
    <t>ஸ்ரீ சதாசிவானந்த ஆசிரமம்</t>
  </si>
  <si>
    <t>ಶ್ರೀ ಸದಾಶಿವಾನಂದ ಆಶ್ರಮ</t>
  </si>
  <si>
    <t>ശ്രീ സദാശിവാനന്ദ ആശ്രമം</t>
  </si>
  <si>
    <t>Sri Sadasivananda Ashram is a spiritual retreat center. It supports meditation and religious activities. The environment is peaceful. Entry is regulated.</t>
  </si>
  <si>
    <t>Sringeri Shankara Matam</t>
  </si>
  <si>
    <t>శృంగేరి శంకర మఠం</t>
  </si>
  <si>
    <t>श्रृंगेरी शंकर मठ</t>
  </si>
  <si>
    <t>ஸ்ரிங்கேரி சங்கர மடம்</t>
  </si>
  <si>
    <t>ಶೃಂಗೇರಿ ಶಂಕರ ಮಠ</t>
  </si>
  <si>
    <t>ശൃംഗേരി ശങ്കര മഠം</t>
  </si>
  <si>
    <t>Sringeri Shankara Matam is associated with the Sringeri spiritual tradition. It serves as a place for worship and guidance. Religious activities are conducted regularly. Visitors are allowed during specific times.</t>
  </si>
  <si>
    <t>Sarangadhara Matham</t>
  </si>
  <si>
    <t>Sarangadhara Matham is a traditional religious matham. It supports spiritual practices and shelter for devotees. The premises are used for religious activities. Entry follows the matham’s rules.</t>
  </si>
  <si>
    <t>Ghanta Matham</t>
  </si>
  <si>
    <t>ఘంట మఠం</t>
  </si>
  <si>
    <t>घंट मठ</t>
  </si>
  <si>
    <t>கண்ட மடம்</t>
  </si>
  <si>
    <t>ಘಂಟ ಮಠ</t>
  </si>
  <si>
    <t>ഘണ്ട മഠം</t>
  </si>
  <si>
    <t>Ghanta Matham is a small religious establishment in Srisailam. It is associated with spiritual observances. The environment is quiet and disciplined. Visitors may enter during permitted hours.</t>
  </si>
  <si>
    <t>Vibhuti Matham</t>
  </si>
  <si>
    <t>విభూతి మఠం</t>
  </si>
  <si>
    <t>विभूति मठ</t>
  </si>
  <si>
    <t>விபூதி மடம்</t>
  </si>
  <si>
    <t>ವಿಭೂತಿ ಮಠ</t>
  </si>
  <si>
    <t>വിഭൂതി മഠം</t>
  </si>
  <si>
    <t>Vibhuti Matham is known for religious and spiritual practices. It serves devotees visiting the area. Activities follow traditional customs. Access may be regulated.</t>
  </si>
  <si>
    <t>Bheema Sankara Matham</t>
  </si>
  <si>
    <t>भीम शंकर मठ</t>
  </si>
  <si>
    <t>பீம சங்கர மடம்</t>
  </si>
  <si>
    <t>ಭೀಮ ಶಂಕರ ಮಠ</t>
  </si>
  <si>
    <t>ഭീമ ശങ്കര മഠം</t>
  </si>
  <si>
    <t>Bheema Sankara Matham is a religious center linked to Shaiva traditions. It provides space for worship and rest. The matham follows a fixed daily routine. Visitors must follow guidelines.</t>
  </si>
  <si>
    <t>Sri Jagadguru Vaagesha Panditaradhya Matham</t>
  </si>
  <si>
    <t>శ్రీ జగద్గురు వాగీశ పండితారాధ్య మఠం</t>
  </si>
  <si>
    <t>श्री जगद्गुरु वागीश पंडिताराध्य मठ</t>
  </si>
  <si>
    <t>ஸ்ரீ ஜகத்குரு வாகீச பண்டிதாராத்ய மடம்</t>
  </si>
  <si>
    <t>ಶ್ರೀ ಜಗದ್ಗುರು ವಾಗೀಶ ಪಂಡಿತಾರಾಧ್ಯ ಮಠ</t>
  </si>
  <si>
    <t>ശ്രീ ജഗദ്ഗുരു വാഗീശ പണ്ഡിതാരാധ്യ മഠം</t>
  </si>
  <si>
    <t>This matham is a religious institution dedicated to spiritual learning. It supports rituals and traditional teachings. The premises are maintained for devotees. Entry is subject to rules.</t>
  </si>
  <si>
    <t>Viswamitra Mattam</t>
  </si>
  <si>
    <t>విశ్వామిత్ర మఠం</t>
  </si>
  <si>
    <t>विश्वामित्र मठ</t>
  </si>
  <si>
    <t>விஸ்வாமித்ர மடம்</t>
  </si>
  <si>
    <t>ವಿಶ್ವಾಮಿತ್ರ ಮಠ</t>
  </si>
  <si>
    <t>വിശ്വാമിത്ര മഠം</t>
  </si>
  <si>
    <t>Viswamitra Mattam is a religious rest and worship center. It supports devotees visiting Srisailam. The setting is calm and spiritual. Entry is limited to permitted hours.</t>
  </si>
  <si>
    <t>Kaalabhairav Matham</t>
  </si>
  <si>
    <t>కాలభైరవ మఠం</t>
  </si>
  <si>
    <t>कालभैरव मठ</t>
  </si>
  <si>
    <t>காலபைரவர் மடம்</t>
  </si>
  <si>
    <t>ಕಾಲಭೈರವ ಮಠ</t>
  </si>
  <si>
    <t>കാലഭൈരവ മഠം</t>
  </si>
  <si>
    <t>Kaalabhairav Matham is a religious matham linked to Shaiva worship. It is used for prayers and rituals. The premises are maintained by caretakers. Visitors must follow temple customs.</t>
  </si>
  <si>
    <t>Kasi Reddy Nayana Nityannadana Ashramam</t>
  </si>
  <si>
    <t>కాశీ రెడ్డి నయన నిత్యాన్నదాన ఆశ్రమం</t>
  </si>
  <si>
    <t>काशी रेड्डी नयन नित्य अन्नदान आश्रम</t>
  </si>
  <si>
    <t>காசி ரெட்டி நயன நித்ய அன்னதான ஆசிரமம்</t>
  </si>
  <si>
    <t>ಕಾಶಿ ರೆಡ್ಡಿ ನಯನ ನಿತ್ಯ ಅನ್ನದಾನ ಆಶ್ರಮ</t>
  </si>
  <si>
    <t>കാശി റെഡ്ഡി നയന നിത്യ അന്നദാന ആശ്രമം</t>
  </si>
  <si>
    <t>This ashramam provides free daily meals to devotees. It operates as part of charitable services. Food is served at fixed timings.</t>
  </si>
  <si>
    <t>Shri Datta Sai (Maunasvami) Ashvaram</t>
  </si>
  <si>
    <t>श्री दत्त साई (मौनस्वामी) आश्वरम</t>
  </si>
  <si>
    <t>ஸ்ரீ தத்த சாய் (மௌனஸ்வாமி) ஆஸ்வரம்</t>
  </si>
  <si>
    <t>ಶ್ರೀ ದತ್ತ ಸಾಯಿ (ಮೌನಸ್ವಾಮಿ) ಆಶ್ವರಂ</t>
  </si>
  <si>
    <t>ശ്രീ ദത്ത സായി (മൗനസ്വാമി) ആശ്വരം</t>
  </si>
  <si>
    <t>This ashram is dedicated to spiritual practices and silence observance. It supports devotees seeking a calm environment. Activities follow strict discipline. Visitor access is controlled.</t>
  </si>
  <si>
    <t>Sri Sri Sri Dattagiri Maharaj Ashram</t>
  </si>
  <si>
    <t>శ్రీ శ్రీ శ్రీ దత్తగిరి మహారాజ్ ఆశ్రమం</t>
  </si>
  <si>
    <t>श्री श्री श्री दत्तगिरी महाराज आश्रम</t>
  </si>
  <si>
    <t>ஸ்ரீ ஸ்ரீ ஸ்ரீ தத்தகிரி மகாராஜ் ஆசிரமம்</t>
  </si>
  <si>
    <t>ಶ್ರೀ ಶ್ರೀ ಶ್ರೀ ದತ್ತಗಿರಿ ಮಹಾರಾಜ ಆಶ್ರಮ</t>
  </si>
  <si>
    <t>ശ്രീ ശ്രീ ശ്രീ ദത്തഗിരി മഹാരാജ ആശ്രമം</t>
  </si>
  <si>
    <t>This ashram serves as a spiritual residence and worship place. Religious routines are followed daily. It supports devotees visiting the area. Entry is allowed as per ashram rules.</t>
  </si>
  <si>
    <t>Sri Mounaswami Asramam</t>
  </si>
  <si>
    <t>శ్రీ మౌనస్వామి ఆశ్రమం</t>
  </si>
  <si>
    <t>श्री मौनस्वामी आश्रम</t>
  </si>
  <si>
    <t>ஸ்ரீ மௌனஸ்வாமி ஆசிரமம்</t>
  </si>
  <si>
    <t>ಶ್ರೀ ಮೌನಸ್ವಾಮಿ ಆಶ್ರಮ</t>
  </si>
  <si>
    <t>ശ്രീ മൗനസ്വാമി ആശ്രമം</t>
  </si>
  <si>
    <t>Sri Mounaswami Asramam is focused on meditation and silent practices. It offers a peaceful setting for devotees. Daily activities follow a fixed schedule. Access is limited.</t>
  </si>
  <si>
    <t>Hindu Maala Satram</t>
  </si>
  <si>
    <t>హిందూ మాలా సత్రం</t>
  </si>
  <si>
    <t>हिन्दू माला सत्र</t>
  </si>
  <si>
    <t>இந்து மாலா சத்திரம்</t>
  </si>
  <si>
    <t>ಹಿಂದೂ ಮಾಲಾ ಸತ್ರ</t>
  </si>
  <si>
    <t>ഹിന്ദു മാലാ സത്രം</t>
  </si>
  <si>
    <t>Hindu Maala Satram provides accommodation and support for pilgrims. It is mainly used for rest and short stays. Facilities are simple. Usage follows satram guidelines.</t>
  </si>
  <si>
    <t>Shree Sidheshwer Nitya Annachhetram</t>
  </si>
  <si>
    <t>శ్రీ సిద్ధేశ్వర్ నిత్య అన్నచ్ఛత్రం</t>
  </si>
  <si>
    <t>श्री सिद्धेश्वर नित्य अन्नछत्र</t>
  </si>
  <si>
    <t>ஸ்ரீ சித்தேஸ்வர் நித்ய அன்னச்சத்திரம்</t>
  </si>
  <si>
    <t>ಶ್ರೀ ಸಿದ್ಧೇಶ್ವರ ನಿತ್ಯ ಅನ್ನಚ್ಛತ್ರ</t>
  </si>
  <si>
    <t>ശ്രീ സിദ്ധേശ്വർ നിത്യ അന്നച്ഛത്രം</t>
  </si>
  <si>
    <t>This annachhetram provides free meals to devotees daily. Food is served at fixed hours. The service supports pilgrims and visitors. Managed as a charitable facility.</t>
  </si>
  <si>
    <t>కర్ణభక్తుల సేవాసదనం</t>
  </si>
  <si>
    <t>कर्णभक्तुला सेवा सदन</t>
  </si>
  <si>
    <t>கர்ணபக்துலா சேவாசதனம்</t>
  </si>
  <si>
    <t>ಕರ್ಣಭಕ್ತುಲ ಸೇವಾಸದನ</t>
  </si>
  <si>
    <t>കർണ്ണഭക്തുല സേവാസദനം</t>
  </si>
  <si>
    <t>Karnabhaktula Sevasadan offers service facilities for devotees. It supports lodging or meal-related services. Operations depend on availability. Entry follows management rules.</t>
  </si>
  <si>
    <t>Sri Sri Sri Ratnanda Swamulu Vari Ashramam</t>
  </si>
  <si>
    <t>శ్రీ శ్రీ శ్రీ రత్నానంద స్వాముల వారి ఆశ్రమం</t>
  </si>
  <si>
    <t>श्री श्री श्री रत्नानंद स्वामुलु वारी आश्रम</t>
  </si>
  <si>
    <t>ஸ்ரீ ஸ்ரீ ஸ்ரீ ரத்னானந்த ஸ்வாமுலு வாரி ஆசிரமம்</t>
  </si>
  <si>
    <t>ಶ್ರೀ ಶ್ರೀ ಶ್ರೀ ರತ್ನಾನಂದ ಸ್ವಾಮುಲು ವಾರಿ ಆಶ್ರಮ</t>
  </si>
  <si>
    <t>ശ്രീ ശ്രീ ശ്രീ രത്നാനന്ദ സ്വാമുലു വാരി ആശ്രമം</t>
  </si>
  <si>
    <t>This ashram is a religious center for spiritual activities. It supports devotees and residents. Daily routines are maintained. Visitor access is subject to permission.</t>
  </si>
  <si>
    <t>Rudraksha Matham</t>
  </si>
  <si>
    <t>Rudraksha Matham is a religious monastery located in the Srisailam area. It serves as a place for spiritual activities and rest for devotees. Daily routines are followed by the residents. Visitor access is usually limited.</t>
  </si>
  <si>
    <t>Srisailam Dam</t>
  </si>
  <si>
    <t>TOURIST_SPOT</t>
  </si>
  <si>
    <t>A large hydroelectric dam built across the Krishna River near Srisailam. It plays a key role in power generation and water storage. Visitors usually view it from designated public areas only.</t>
  </si>
  <si>
    <t>Srisailam Dam View Point</t>
  </si>
  <si>
    <t>A public viewing area that offers a clear sight of the dam structure. It is commonly used for sightseeing and photography. Best visited during daylight hours.</t>
  </si>
  <si>
    <t>Srisailam Dam Famous View Point</t>
  </si>
  <si>
    <t>A well-known spot providing a wide-angle view of the dam and surrounding hills. It is accessible by road and often crowded during peak seasons. Safety railings are provided.</t>
  </si>
  <si>
    <t>Srisailam Reservoir View Point</t>
  </si>
  <si>
    <t>A viewpoint overlooking the water reservoir formed by the dam. It gives a calm view of the stored water and nearby forest area. Suitable for short halts.</t>
  </si>
  <si>
    <t>A river access point on the banks of the Krishna River. Pilgrims and visitors come here for river viewing and basic rituals. Steps lead down to the water level.</t>
  </si>
  <si>
    <t>Pathala Ganga Pitru Program</t>
  </si>
  <si>
    <t>A designated area near Pathalaganga for performing ancestral rituals. It is managed by temple authorities. Facilities are simple and guided by priests.</t>
  </si>
  <si>
    <t>Srisailam Project View Point – Pathalaganga Steps</t>
  </si>
  <si>
    <t>A viewing point located along the steps leading to Pathalaganga. It offers a combined view of the river and project area. Used mainly as a resting and viewing spot.</t>
  </si>
  <si>
    <t>Krishna River Front</t>
  </si>
  <si>
    <t>The riverbank area along the Krishna River at Srisailam. It is used for walking, viewing the river flow, and boating access. The area is maintained for public movement.</t>
  </si>
  <si>
    <t>Krishna River Boat Point</t>
  </si>
  <si>
    <t>कृष्णा नदी नौका बिंदु</t>
  </si>
  <si>
    <t>A designated point where boats operate on the Krishna River. Tickets are required before boarding. Boat rides depend on water levels and weather conditions.</t>
  </si>
  <si>
    <t>View Point, Krishna River</t>
  </si>
  <si>
    <t>காட்சி முனை, கிருஷ்ணா நதி</t>
  </si>
  <si>
    <t>ವೀಕ್ಷಣಾ ಸ್ಥಳ, ಕೃಷ್ಣಾ ನದಿ</t>
  </si>
  <si>
    <t>വ്യൂ പോയിന്റ്, കൃഷ്ണ നദി</t>
  </si>
  <si>
    <t xml:space="preserve"> A general viewing area facing the Krishna River. It allows visitors to observe the river flow and surrounding landscape. Seating may be limited</t>
  </si>
  <si>
    <t>APTDC Ropeway</t>
  </si>
  <si>
    <t>APTDC கேபிள் கார்</t>
  </si>
  <si>
    <t>APTDC ಕೇಬಲ್ ಕಾರ್</t>
  </si>
  <si>
    <t>APTDC കേബിൾ കാർ</t>
  </si>
  <si>
    <t>A cable ropeway operated by Andhra Pradesh Tourism. It connects upper areas to the river level for easier access. Operation depends on maintenance and weather.</t>
  </si>
  <si>
    <t>APTDC Krishna River Ropeway Station</t>
  </si>
  <si>
    <t>The boarding and exit station for the APTDC ropeway near the river. Ticket verification and queue management are done here. Basic waiting facilities are available.</t>
  </si>
  <si>
    <t>APTDC Ropeway &amp; Boating Ticket Counter</t>
  </si>
  <si>
    <t>APTDC ಕೇಬಲ್ ಕಾರ್ &amp; ಬೋಟಿಂಗ್ ಟಿಕೆಟ್ ಕೌಂಟರ್</t>
  </si>
  <si>
    <t>APTDC കേബിൾ കാർ &amp; ബോട്ടിംഗ് ടിക്കറ്റ് കൗണ്ടർ</t>
  </si>
  <si>
    <t>A common ticket counter for ropeway and boating services. Visitors must purchase tickets here before using the services. Payment options may vary.</t>
  </si>
  <si>
    <t>AP Tourism Boating Point</t>
  </si>
  <si>
    <t>A boating facility managed by Andhra Pradesh Tourism. Boats operate at fixed timings under supervision. Life jackets are generally provided.</t>
  </si>
  <si>
    <t>APTDC Boating Point</t>
  </si>
  <si>
    <t>An official boating access point operated by APTDC. It connects visitors to short river rides. Entry is regulated by ticket availability.</t>
  </si>
  <si>
    <t>Boating Point</t>
  </si>
  <si>
    <t>A general boarding area for river boating activities. Access depends on crowd levels and water conditions. Staff guide visitors during boarding.</t>
  </si>
  <si>
    <t>Boating Platform</t>
  </si>
  <si>
    <t>A constructed platform used for safe boarding and exiting of boats. It helps manage queues and movement near the river. Slippery during monsoon season.</t>
  </si>
  <si>
    <t>Boating View Point 1, Srisailam (SBZ)</t>
  </si>
  <si>
    <t>A viewing spot near the boating zone. Visitors can watch boating activities and river movement. It is mainly used for short stops.</t>
  </si>
  <si>
    <t>Akkamahadevi Caves (Ticket Counter)</t>
  </si>
  <si>
    <t>The official counter for purchasing entry tickets to Akkamahadevi Caves. Visitor information and boat coordination are handled here. Tickets are mandatory.</t>
  </si>
  <si>
    <t>Rudravanam Park</t>
  </si>
  <si>
    <t>A maintained green park area for relaxation and walking. It has planted trees and shaded paths. Suitable for families and elderly visitors.</t>
  </si>
  <si>
    <t>Srisaila Devasthanam Park</t>
  </si>
  <si>
    <t>A park maintained by temple authorities. It provides seating and walking space near temple surroundings. Cleanliness is regularly managed.</t>
  </si>
  <si>
    <t>Srisailam Park Near Temple Pond (E-Toilets)</t>
  </si>
  <si>
    <t>A small park area located near the temple pond. It includes electronic toilet facilities for visitors. Useful for short rest stops.</t>
  </si>
  <si>
    <t>Srisaila Theme Parks</t>
  </si>
  <si>
    <t>ஸ்ரீசைலம் தீம் பூங்காக்கள்</t>
  </si>
  <si>
    <t>ಶ್ರೀಶೈಲಂ ಥೀಮ್ ಪಾರ್ಕ್‌ಗಳು</t>
  </si>
  <si>
    <t>ശ്രീശൈലം തീം പാർക്കുകൾ</t>
  </si>
  <si>
    <t>A recreational area with landscaped sections and themed elements. Mainly used for leisure walks and family visits. Facilities are basic.</t>
  </si>
  <si>
    <t>Nandhi Park</t>
  </si>
  <si>
    <t>A park area dedicated for visitor rest and movement. It has seating arrangements and greenery. Located close to main visitor routes.</t>
  </si>
  <si>
    <t>Balaganesha Vanam</t>
  </si>
  <si>
    <t>A green zone developed as part of plantation and conservation efforts. It offers shaded walking paths. Entry is usually free.</t>
  </si>
  <si>
    <t>Basava Vanam</t>
  </si>
  <si>
    <t>A plantation area with maintained walking paths. It supports eco-friendly tourism. Suitable for calm, short visits.</t>
  </si>
  <si>
    <t>Bhramaramba Gardens</t>
  </si>
  <si>
    <t>A garden area near temple surroundings. It is used for relaxation and waiting time. Seating and pathways are available.</t>
  </si>
  <si>
    <t>Sri Parvatha Vanam</t>
  </si>
  <si>
    <t>A forested garden zone developed for conservation and visitor access. It provides a quiet environment. Walking is the main activity.</t>
  </si>
  <si>
    <t>Srisailam Rock Garden</t>
  </si>
  <si>
    <t>A landscaped area featuring natural rock formations. It offers photo spots and walking paths. Surfaces may be uneven.</t>
  </si>
  <si>
    <t>Srisailam Best Waterfalls</t>
  </si>
  <si>
    <t>A commonly referred area for seasonal waterfalls around Srisailam. Water flow depends on rainfall. Access may be limited during dry seasons.</t>
  </si>
  <si>
    <t>Siddi Ramappa Kolanu</t>
  </si>
  <si>
    <t>A natural water body near Srisailam. It is mainly viewed as a local attraction. Facilities around it are minimal.</t>
  </si>
  <si>
    <t>A natural stream area with flowing water from the hills. Access involves walking steps. Flow depends on season and rainfall.</t>
  </si>
  <si>
    <t>Chenchu Lakshmi Tribal Museum</t>
  </si>
  <si>
    <t>A museum displaying tribal lifestyle, tools, and cultural information. It is educational and informative. Entry timings are fixed.</t>
  </si>
  <si>
    <t>Siva Parvathi Statue</t>
  </si>
  <si>
    <t>A large statue installation depicting Shiva and Parvati. It is a visual landmark for visitors. Usually accessed by road.</t>
  </si>
  <si>
    <t>Amphitheatre</t>
  </si>
  <si>
    <t>अम्फीथिएटर</t>
  </si>
  <si>
    <t>அம்பிதியேட்டர்</t>
  </si>
  <si>
    <t>ಅಂಫಿಥಿಯೇಟರ್</t>
  </si>
  <si>
    <t>ആംഫിതിയേറ്റർ</t>
  </si>
  <si>
    <t>An open-air seating area used for cultural programs and gatherings. Seating is tiered. Events are held occasionally.</t>
  </si>
  <si>
    <t>MSK Local Tour Sightseeing</t>
  </si>
  <si>
    <t>A local sightseeing service covering nearby attractions. Tours operate on fixed routes and timings. Booking is required.</t>
  </si>
  <si>
    <t>Cloak Room Fountain</t>
  </si>
  <si>
    <t>A cloak room facility with a fountain landmark nearby. Visitors can store belongings securely here. Useful before temple entry.</t>
  </si>
  <si>
    <t>Shikhara Srisaila Pushkarini</t>
  </si>
  <si>
    <t>शिखर श्रीशैल पुष्करिणी</t>
  </si>
  <si>
    <t>சிகரம் ஸ்ரீசைலம் புஷ்கரிணி</t>
  </si>
  <si>
    <t>ಶಿಖರ ಶ್ರೀಶೈಲ ಪುಷ್ಕರಿಣಿ</t>
  </si>
  <si>
    <t>ശിഖര ശ്രീശൈല പുഷ്കരിണി</t>
  </si>
  <si>
    <t>Shikhara Srisaila Pushkarini is a sacred temple water tank located near the Shikharam area of Srisailam.Devotees consider the water holy and use it for ritual bathing and religious practices.</t>
  </si>
  <si>
    <t>Rudraksha (Bhadraksha) Vanam</t>
  </si>
  <si>
    <t>రుద్రాక్ష (భద్రాక్ష) వనం</t>
  </si>
  <si>
    <t>रुद्राक्ष (भद्राक्ष) वन</t>
  </si>
  <si>
    <t>ருத்ராட்ச (பத்ராட்ச) வனம்</t>
  </si>
  <si>
    <t>ರುದ್ರಾಕ್ಷ (ಭದ್ರಾಕ್ಷ) ವನ</t>
  </si>
  <si>
    <t>രുദ്രാക്ഷ (ഭദ്രാക്ഷ) വനം</t>
  </si>
  <si>
    <t>Rudraksha Vanam is a sacred forest area located in the Srisailam region.
It is known for Rudraksha trees, which are closely associated with Lord Shiva.
The area offers a peaceful spiritual atmosphere for pilgrims.</t>
  </si>
  <si>
    <t>Mahadeva Nandi</t>
  </si>
  <si>
    <t>మహాదేవ నంది</t>
  </si>
  <si>
    <t>महादेव नंदी</t>
  </si>
  <si>
    <t>மகாதேவ நந்தி</t>
  </si>
  <si>
    <t>ಮಹಾದೇವ ನಂದಿ</t>
  </si>
  <si>
    <t>മഹാദേവ നന്ദി</t>
  </si>
  <si>
    <t>Mahadeva Nandi is the sacred bull associated with Lord Mallikarjuna in Srisailam.
Nandi symbolizes devotion, discipline, and unwavering faith.
Devotees traditionally worship Nandi before entering the main temple.</t>
  </si>
  <si>
    <t>APTDC Restaurant</t>
  </si>
  <si>
    <t>FOOD</t>
  </si>
  <si>
    <t>ఎ.పీ.టి.డి.సి. రెస్టారెంట్</t>
  </si>
  <si>
    <t>ए.पी.टी.डी.सी. रेस्टोरेंट</t>
  </si>
  <si>
    <t>எ.பி.டி.டி.சி. உணவகம்</t>
  </si>
  <si>
    <t>ಎ.ಪಿ.ಟಿ.ಡಿ.ಸಿ. ರೆಸ್ಟಾರೆಂಟ್</t>
  </si>
  <si>
    <t>എ.പി.റ്റി.ഡി.സി. റെസ്റ്റോറന്റ്</t>
  </si>
  <si>
    <t>APTDC Restaurant is a government-operated dining facility managed by Andhra Pradesh Tourism. It serves standard vegetarian and non-vegetarian meals.</t>
  </si>
  <si>
    <t>Trishul Family Restaurant</t>
  </si>
  <si>
    <t>Trishul Family Restaurant offers regular Indian meals in a family-friendly setting. The restaurant provides basic seating for small and large groups</t>
  </si>
  <si>
    <t>Hotel Sahasra</t>
  </si>
  <si>
    <t>Hotel Sahasra has an in-house restaurant serving daily vegetarian meals. The food is simple and suitable for pilgrims. Service is steady during peak hours. It is convenient for guests staying nearby.</t>
  </si>
  <si>
    <t>Hotel Sravani</t>
  </si>
  <si>
    <t>Hotel Sravani serves South Indian meals and breakfast items. The restaurant focuses on quick service. Seating is limited but functional. It is suitable for short meal stops.</t>
  </si>
  <si>
    <t>Hotel Manjunath</t>
  </si>
  <si>
    <t>Hotel Manjunath provides vegetarian meals in a simple dining setup. The food is prepared in a traditional style. It is frequently used by pilgrims.</t>
  </si>
  <si>
    <t>Hotel Apoorva</t>
  </si>
  <si>
    <t>Hotel Apoorva offers basic South Indian meals for visitors. The dining area is simple and clean. Service is focused on affordability and speed. It is located within Srisailam town.</t>
  </si>
  <si>
    <t>Hotel Sai Balaji</t>
  </si>
  <si>
    <t>Hotel Sai Balaji serves vegetarian meals and breakfast items. The restaurant has a straightforward seating arrangement.</t>
  </si>
  <si>
    <t>Hotel Ilapuram</t>
  </si>
  <si>
    <t>హోటల్ ఇలాపురం</t>
  </si>
  <si>
    <t>होटल इलापुरम</t>
  </si>
  <si>
    <t>Hotel Ilapuram provides regular vegetarian food options. The restaurant is known for steady service during busy times. Meals are simple and filling. It is located near lodging facilities.</t>
  </si>
  <si>
    <t>Hotel Krishnaveni Darshan</t>
  </si>
  <si>
    <t>Hotel Krishnaveni Darshan has a restaurant attached to the hotel premises. It serves daily meals for guests and walk-in visitors. The menu mainly includes South Indian dishes.</t>
  </si>
  <si>
    <t>Hotel Sai Raghavendra</t>
  </si>
  <si>
    <t>Hotel Sai Raghavendra offers vegetarian meals suitable for pilgrims. The dining area is modest and clean. Service is focused on regular meal preparation.</t>
  </si>
  <si>
    <t>Eliya Hotel</t>
  </si>
  <si>
    <t>Eliya Hotel is a small eatery serving basic vegetarian meals. The food is simple and freshly prepared. Seating is limited. It is suitable for quick dining.</t>
  </si>
  <si>
    <t>Shrishail</t>
  </si>
  <si>
    <t>శ్రీశైల్</t>
  </si>
  <si>
    <t>श्रीशैल</t>
  </si>
  <si>
    <t>ஸ்ரீசைல்</t>
  </si>
  <si>
    <t>ಶ್ರೀಶೈಲ್</t>
  </si>
  <si>
    <t>ശ്രീശൈൽ</t>
  </si>
  <si>
    <t>Shrishail serves local-style vegetarian food. The restaurant focuses on simple meal options. It is frequently visited by temple visitors.</t>
  </si>
  <si>
    <t>Srisalam</t>
  </si>
  <si>
    <t>శ్రీశైలం</t>
  </si>
  <si>
    <t>श्रीशैलम</t>
  </si>
  <si>
    <t>ஸ்ரீசைலம்</t>
  </si>
  <si>
    <t>ಶ್ರೀಶೈಲಂ</t>
  </si>
  <si>
    <t>ശ്രീശൈലം</t>
  </si>
  <si>
    <t>Srisalam offers regular South Indian food items. The meals are affordable and simple. It caters mainly to pilgrims and local visitors. Seating is basic.</t>
  </si>
  <si>
    <t>Ganesh Food Court</t>
  </si>
  <si>
    <t>Ganesh Food Court provides multiple food options under one roof. It has seating suitable for families and groups. Both snacks and full meals are available. It is a convenient dining stop.</t>
  </si>
  <si>
    <t>Tri Shakti Canteen</t>
  </si>
  <si>
    <t>Tri Shakti Canteen serves simple vegetarian meals in a canteen-style setup. The food is prepared for quick service.</t>
  </si>
  <si>
    <t>Amma Catering</t>
  </si>
  <si>
    <t>Amma Catering provides cooked vegetarian meals and catering services. The food follows traditional preparation methods. It is often used for group meals. Service depends on demand.</t>
  </si>
  <si>
    <t>Tiffin Center Vegetarian</t>
  </si>
  <si>
    <t>టిఫిన్ సెంటర్ వెజిటేరియన్</t>
  </si>
  <si>
    <t>टिफिन सेंटर शाकाहारी</t>
  </si>
  <si>
    <t>டிபன் சென்டர் சைவம்</t>
  </si>
  <si>
    <t>ಟಿಫಿನ್ ಸೆಂಟರ್ ಸಸ್ಯಾಹಾರಿ</t>
  </si>
  <si>
    <t>ടിഫിൻ സെന്റർ സസ്യാഹാരി</t>
  </si>
  <si>
    <t>This tiffin center serves vegetarian South Indian breakfast items. Food is prepared for quick consumption. Service is fast during morning hours. Seating is limited.</t>
  </si>
  <si>
    <t>Maheshwari Tiffin Centre (Breakfast)</t>
  </si>
  <si>
    <t>Maheshwari Tiffin Centre specializes in breakfast items like idli and dosa. It mainly operates in the morning. Service is quick and efficient.</t>
  </si>
  <si>
    <t>Alluramma Tiffin Hotel</t>
  </si>
  <si>
    <t>Alluramma Tiffin Hotel offers vegetarian breakfast items. The setup is small with basic seating. Food is served fresh.</t>
  </si>
  <si>
    <t>Lucky Tiffins</t>
  </si>
  <si>
    <t>Lucky Tiffins serves common South Indian tiffin items. The food is affordable and filling. Service is fast. It is suitable for short stops.</t>
  </si>
  <si>
    <t>Amurutha Tiffin Center</t>
  </si>
  <si>
    <t>Amurutha Tiffin Center provides vegetarian tiffins and light meals. It operates mainly during morning hours.</t>
  </si>
  <si>
    <t>Sri Nandhini Food</t>
  </si>
  <si>
    <t>Sri Nandhini Food serves simple vegetarian meals. The focus is on regular daily food. Seating and service are basic. It is located within the town area.</t>
  </si>
  <si>
    <t>Naidu's Hotel</t>
  </si>
  <si>
    <t>నాయుడు హోటల్</t>
  </si>
  <si>
    <t>नायडू होटल</t>
  </si>
  <si>
    <t>ನಾಯ್ಡು ಹೋಟೆಲ್</t>
  </si>
  <si>
    <t>നായിഡൂ ഹോട്ടൽ</t>
  </si>
  <si>
    <t>Naidu's Hotel offers South Indian meals and breakfast options. The dining area is modest.</t>
  </si>
  <si>
    <t>Nandini Tea Point</t>
  </si>
  <si>
    <t>Nandini Tea Point is a small stall serving tea and light refreshments. It is used for short breaks. Seating is minimal. Service is quick.</t>
  </si>
  <si>
    <t>No 1 Tea Stall</t>
  </si>
  <si>
    <t>నెం. 1 టీ స్టాల్</t>
  </si>
  <si>
    <t>नं. 1 चाय दुकान</t>
  </si>
  <si>
    <t>எண். 1 டீ கடை</t>
  </si>
  <si>
    <t>ನಂ. 1 ಟೀ ಸ್ಟಾಲ್</t>
  </si>
  <si>
    <t>നമ്പർ 1 ടീ സ്റ്റാൾ</t>
  </si>
  <si>
    <t>No 1 Tea Stall serves tea and basic snacks. It has a small setup with limited seating.</t>
  </si>
  <si>
    <t>Tea Break</t>
  </si>
  <si>
    <t>Tea Break is a refreshment point offering tea and snacks. It is meant for quick stops. Seating may be limited. It is located near busy walking areas.</t>
  </si>
  <si>
    <t>Sri Giri Juice Shop</t>
  </si>
  <si>
    <t>Sri Giri Juice Shop serves fresh fruit juices and beverages. It is popular during daytime. Service is quick. It provides refreshment for visitors.</t>
  </si>
  <si>
    <t>Ranjit Juice Center</t>
  </si>
  <si>
    <t>Ranjit Juice Center offers seasonal fruit juices and drinks.</t>
  </si>
  <si>
    <t>Chalo Chat Pani Puri</t>
  </si>
  <si>
    <t>Chalo Chat Pani Puri is a street-style snack outlet. It serves pani puri and chaat items. Food is prepared fresh</t>
  </si>
  <si>
    <t>Annadanam &amp; Laddu Prasadam</t>
  </si>
  <si>
    <t>Annadanam &amp; Laddu Prasadam provides free meals and temple prasadam. The service is managed by temple authorities. Meals are served at fixed timings.</t>
  </si>
  <si>
    <t>Srisailam Free Bhojanalaya</t>
  </si>
  <si>
    <t>శ్రీశైలం ఉచిత భోజనాలయం</t>
  </si>
  <si>
    <t>श्रीशैलम निःशुल्क भोजनालय</t>
  </si>
  <si>
    <t>ஸ்ரீசைலம் இலவச உணவகம்</t>
  </si>
  <si>
    <t>ಶ್ರೀಶೈಲಂ ಉಚಿತ ಭೋಜನಾಲಯ</t>
  </si>
  <si>
    <t>ശ്രീശൈലം സൗജന്യ ഭക്ഷണശാല</t>
  </si>
  <si>
    <t>Srisailam Free Bhojanalaya offers free vegetarian meals to pilgrims. The facility operates daily. Food is served at scheduled times.</t>
  </si>
  <si>
    <t>Annapura Bhavan</t>
  </si>
  <si>
    <t>అన్నపూర్ణ భవన్</t>
  </si>
  <si>
    <t>अन्नपूर्ण भवन</t>
  </si>
  <si>
    <t>அன்னபூர்ண பவன்</t>
  </si>
  <si>
    <t>ಅನ್ನಪೂರ ಭವನ</t>
  </si>
  <si>
    <t>അന്നപൂർണ ഭവൻ</t>
  </si>
  <si>
    <t>Annapura Bhavan is a dining facility serving simple vegetarian meals. It is designed to handle many visitors at once. Seating is spacious.</t>
  </si>
  <si>
    <t>APSRTC Bus Stand</t>
  </si>
  <si>
    <t>TRANSPORT</t>
  </si>
  <si>
    <t>APSRTC బస్ స్టాండ్</t>
  </si>
  <si>
    <t>Main government bus stand providing APSRTC bus services connecting Srisailam with nearby towns and cities.</t>
  </si>
  <si>
    <t>APSRTC and TSRTC Advance Booking Counter</t>
  </si>
  <si>
    <t>APSRTC మరియు TSRTC ముందస్తు బుకింగ్ కౌంటర్</t>
  </si>
  <si>
    <t>एपीएसआरटीसी और टीएसआरटीसी अग्रिम बुकिंग काउंटर</t>
  </si>
  <si>
    <t>APSRTC மற்றும் TSRTC முன்பதிவு டிக்கெட் கவுண்டர்</t>
  </si>
  <si>
    <t>APSRTC ಮತ್ತು TSRTC ಮುಂಗಡ ಟಿಕೆಟ್ ಬುಕ್ಕಿಂಗ್ ಕೌಂಟರ್</t>
  </si>
  <si>
    <t>APSRTC, TSRTC മുൻകൂർ ടിക്കറ്റ് ബുക്കിംഗ് കൗണ്ടർ</t>
  </si>
  <si>
    <t>Advance ticket booking counter for APSRTC and TSRTC bus services operating from Srisailam.</t>
  </si>
  <si>
    <t>Naidu Travels Srisailam Cabs &amp; Taxi</t>
  </si>
  <si>
    <t>నాయుడు ట్రావెల్స్ శ్రీశైలం క్యాబ్ &amp; ట్యాక్సీ సేవలు</t>
  </si>
  <si>
    <t>நாயுடு டிராவல்ஸ் ஸ்ரீசைலம் கேப் &amp; டாக்ஸி சேவை</t>
  </si>
  <si>
    <t>ನಾಯ್ಡು ಟ್ರಾವೆಲ್ಸ್ ಶ್ರೀಶೈಲಂ ಕ್ಯಾಬ್ &amp; ಟ್ಯಾಕ್ಸಿ ಸೇವೆಗಳು</t>
  </si>
  <si>
    <t>കെ.എൻ.ആർ. ട്രാവൽസ് കാബ് സേവനങ്ങൾ</t>
  </si>
  <si>
    <t>Local travel service offering cabs and taxis for sightseeing and nearby travel from Srisailam.</t>
  </si>
  <si>
    <t>KNR Travels and Cab Service</t>
  </si>
  <si>
    <t>KNR ట్రావెల్స్ మరియు క్యాబ్ సేవలు</t>
  </si>
  <si>
    <t>केएनआर ट्रैवल्स और कैब सेवा</t>
  </si>
  <si>
    <t>கே.என்.ஆர். டிராவல்ஸ் மற்றும் கேப் சேவை</t>
  </si>
  <si>
    <t>ಕೆ.ಎನ್.ಆರ್. ಟ್ರಾವೆಲ್ಸ್ ಮತ್ತು ಕ್ಯಾಬ್ ಸೇವೆಗಳು</t>
  </si>
  <si>
    <t>Private cab service providing local and outstation transportation for pilgrims and visitors.</t>
  </si>
  <si>
    <t>Srisailam Four Wheel Travels</t>
  </si>
  <si>
    <t>శ్రీశైలం ఫోర్ వీలర్ ట్రావెల్స్</t>
  </si>
  <si>
    <t>ஸ்ரீசைலம் ஃபோர் வீலர் டிராவல்ஸ்</t>
  </si>
  <si>
    <t>ಶ್ರೀಶೈಲಂ ಫೋರ್ ವೀಲರ್ ಟ್ರಾವೆಲ್ಸ್</t>
  </si>
  <si>
    <t>ശ്രീശൈലം ഫോർ വീലർ ട്രാവൽസ്</t>
  </si>
  <si>
    <t>Travel service offering four-wheel vehicle rentals for temple visits and local travel.</t>
  </si>
  <si>
    <t>Devastanam Hospital</t>
  </si>
  <si>
    <t>FACILITY</t>
  </si>
  <si>
    <t>Devastanam Hospital is a medical facility managed by the temple administration. It provides basic healthcare services to pilgrims and staff. Emergency care is available when required. The hospital operates throughout the day.</t>
  </si>
  <si>
    <t>Primary Health Center</t>
  </si>
  <si>
    <t>ప్రాథమిక ఆరోగ్య కేంద్రం</t>
  </si>
  <si>
    <t>प्राथमिक स्वास्थ्य केन्द्र</t>
  </si>
  <si>
    <t>The Primary Health Center offers basic medical treatment and first aid services. It supports local residents and visitors. Services include general checkups and primary care. Serious cases are referred to higher hospitals.</t>
  </si>
  <si>
    <t>SST Home &amp; Health Sri Sailam</t>
  </si>
  <si>
    <t>SST హోమ్ &amp; హెల్త్ శ్రీశైలం</t>
  </si>
  <si>
    <t>एसएसटी होम एंड हेल्थ श्रीशैलम</t>
  </si>
  <si>
    <t>SST Home &amp; Health Sri Sailam provides health-related services and care support. It focuses on basic medical assistance. The facility operates during fixed hours. It serves local needs.</t>
  </si>
  <si>
    <t>Mallanna Medical &amp; Fancy Store</t>
  </si>
  <si>
    <t>మల్లన్న మెడికల్ &amp; ఫ్యాన్సీ దుకాణం</t>
  </si>
  <si>
    <t>मलन्ना मेडिकल एवं फैंसी स्टोर</t>
  </si>
  <si>
    <t>Mallanna Medical &amp; Fancy Store sells medicines and daily-use medical items. It also offers small personal and convenience products.</t>
  </si>
  <si>
    <t>Srisalam 1Town Police Station</t>
  </si>
  <si>
    <t>శ్రీశైలం వన్ టౌన్ పోలీస్ స్టేషన్</t>
  </si>
  <si>
    <t>श्रीशैलम वन टाउन पुलिस स्टेशन</t>
  </si>
  <si>
    <t>Srisalam 1Town Police Station handles law and order within the local area. Police support is available at all times.</t>
  </si>
  <si>
    <t>Fire Station, Srisailam</t>
  </si>
  <si>
    <t>అగ్నిమాపక కేంద్రం, శ్రీశైలం</t>
  </si>
  <si>
    <t>The Fire Station in Srisailam provides emergency fire and rescue services. It responds to fire accidents and safety situations. Staff are trained for emergency response. Services operate round the clock.</t>
  </si>
  <si>
    <t>Sub Post Office</t>
  </si>
  <si>
    <t>ఉప తపాలా కార్యాలయం</t>
  </si>
  <si>
    <t>उप डाकघर</t>
  </si>
  <si>
    <t>The Sub Post Office offers postal services including mail and parcels. Basic banking-related postal services may also be available. It serves residents and visitors. Operations follow standard working hours.</t>
  </si>
  <si>
    <t>Wisdom School</t>
  </si>
  <si>
    <t>Wisdom School is an educational institution serving local students. It provides regular academic instruction. The school operates during daytime hours. Access is mainly for enrolled students.</t>
  </si>
  <si>
    <t>Chaitanya School</t>
  </si>
  <si>
    <t>Chaitanya School offers formal education to children in the area. It follows a structured academic schedule. School activities run on working days. Entry is limited to students and staff.</t>
  </si>
  <si>
    <t>High School</t>
  </si>
  <si>
    <t>ఉన్నత పాఠశాల</t>
  </si>
  <si>
    <t>उच्च विद्यालय</t>
  </si>
  <si>
    <t>The High School provides secondary-level education. It serves students from surrounding areas. Classes are conducted on regular school days.</t>
  </si>
  <si>
    <t>ZPHS Srisailam</t>
  </si>
  <si>
    <t>ZPHS Srisailam is a government-run high school. It offers secondary education to local students. The school follows state education guidelines. Activities are limited to school hours.</t>
  </si>
  <si>
    <t>Veerashaiva Gurukulam</t>
  </si>
  <si>
    <t>Veerashaiva Gurukulam is a traditional learning center. It focuses on religious and cultural education. Students stay and study under guidance. Access is restricted to enrolled learners.</t>
  </si>
  <si>
    <t>Sri Devi Vedavidhyalayam – Srividhya Sevasamithi – Srisailam</t>
  </si>
  <si>
    <t>This institution provides education in Vedic and traditional studies. Teaching follows structured learning methods. The facility supports cultural education. Entry is limited to students and staff.</t>
  </si>
  <si>
    <t>Sri Shankara Veda Smartha Patashala</t>
  </si>
  <si>
    <t>Sri Shankara Veda Smartha Patashala is a center for Vedic learning. It trains students in traditional scriptures. Classes are conducted regularly. The premises are used mainly for educational purposes.</t>
  </si>
  <si>
    <t>Library</t>
  </si>
  <si>
    <t>గ్రంథాలయం</t>
  </si>
  <si>
    <t>पुस्तकालय</t>
  </si>
  <si>
    <t>The library provides reading and reference facilities. It contains books and study materials. Seating is available for quiet reading. Entry is subject to library rules.</t>
  </si>
  <si>
    <t>Parking</t>
  </si>
  <si>
    <t>వాహనాల పార్కింగ్</t>
  </si>
  <si>
    <t>वाहन पार्किंग</t>
  </si>
  <si>
    <t>This parking area is provided for visitor vehicles. It helps manage traffic near busy locations. Parking is allowed for limited durations.</t>
  </si>
  <si>
    <t>वाहन पार्किंग, श्रीशैलम</t>
  </si>
  <si>
    <t>This is an additional designated parking space. It supports overflow vehicle parking. Access may vary during peak times. Vehicles are parked at the owner’s risk.</t>
  </si>
  <si>
    <t>Vehicle Parking</t>
  </si>
  <si>
    <t>Vehicle Parking is meant for two-wheelers and four-wheelers. It reduces congestion near public areas. Parking is usually time-bound. Security may be limited.</t>
  </si>
  <si>
    <t>Car Parking, Srisailam</t>
  </si>
  <si>
    <t>Car Parking in Srisailam is designated for private cars. It is located near major visitor areas. Parking slots are subject to availability. Charges may apply.</t>
  </si>
  <si>
    <t>Ankalamma Parking</t>
  </si>
  <si>
    <t>Ankalamma Parking provides vehicle parking near nearby facilities. It supports local and visitor traffic. Parking is available on a first-come basis. Follow local parking rules.</t>
  </si>
  <si>
    <t>Annapurna Satram Car Parking</t>
  </si>
  <si>
    <t>This car parking area serves visitors to Annapurna Satram. It allows easy access to nearby facilities. Parking is managed during peak hours. Vehicles should be parked properly.</t>
  </si>
  <si>
    <t>Tourist Bus Parking</t>
  </si>
  <si>
    <t>Tourist Bus Parking is designated for buses and large vehicles. It helps manage group travel traffic. Entry is restricted to buses.</t>
  </si>
  <si>
    <t>Ticket Counters</t>
  </si>
  <si>
    <t>టికెట్ కౌంటర్లు</t>
  </si>
  <si>
    <t>टिकट काउंटर</t>
  </si>
  <si>
    <t>Ticket Counters are used for issuing entry or service tickets. They help manage visitor flow. Counters operate during fixed hours.</t>
  </si>
  <si>
    <t>Prasadam Counters, Srisailam</t>
  </si>
  <si>
    <t>ప్రసాదం కౌంటర్లు, శ్రీశైలం</t>
  </si>
  <si>
    <t>Prasadam Counters distribute temple prasadam to devotees. Service is managed by temple authorities. Timings are fixed daily.</t>
  </si>
  <si>
    <t>Saakshi Ganapathi Online Ticket Booking Counter</t>
  </si>
  <si>
    <t>సాక్షి గణపతి ఆన్‌లైన్ టికెట్ బుకింగ్ కేంద్రం</t>
  </si>
  <si>
    <t>साक्षी गणपति ऑनलाइन टिकट बुकिंग केन्द्र</t>
  </si>
  <si>
    <t>This counter assists visitors with online ticket bookings. It helps those unfamiliar with digital systems. Operates during set hours.</t>
  </si>
  <si>
    <t>Kalyana Katta</t>
  </si>
  <si>
    <t>Kalyana Katta is a facility for hair tonsure rituals. It provides organized and hygienic services. Separate areas may be available. Timings are regulated.</t>
  </si>
  <si>
    <t>Srisailam Devasthanam Camera and Phone Keeping Room</t>
  </si>
  <si>
    <t>శ్రీశైలం దేవస్థానం కెమెరా &amp; ఫోన్ నిల్వ కేంద్రం</t>
  </si>
  <si>
    <t>श्रीशैलम देवस्थान कैमरा एवं फोन जमा कक्ष</t>
  </si>
  <si>
    <t>This facility allows visitors to deposit cameras and mobile phones. It helps maintain temple security rules. Items are returned after exit. Lockers are issued with tokens.</t>
  </si>
  <si>
    <t>Srisailam Devasthanam Cloak Room Luggage Counter</t>
  </si>
  <si>
    <t>శ్రీశైలం దేవస్థానం క్లోక్ రూమ్ సామాను కౌంటర్</t>
  </si>
  <si>
    <t>श्रीशैलम देवस्थान क्लोक रूम सामान काउंटर</t>
  </si>
  <si>
    <t>The cloak room provides safe storage for luggage and belongings. It helps visitors move freely inside temple areas. Storage is temporary. Proper receipts are issued.</t>
  </si>
  <si>
    <t>Goshala</t>
  </si>
  <si>
    <t>The Goshala houses and maintains cows under temple management. It supports animal care and protection. Visitors may view from designated areas. Access is controlled.</t>
  </si>
  <si>
    <t>Srisaila Devasthanam Gosamrakshana</t>
  </si>
  <si>
    <t>This facility focuses on cow protection and care. It is managed by the temple administration. Activities include feeding and medical care. Entry is limited.</t>
  </si>
  <si>
    <t>Shikharam Car Parking</t>
  </si>
  <si>
    <t>शिखरम कार पार्किंग</t>
  </si>
  <si>
    <t>சிகரம் கார் பார்க்கிங்</t>
  </si>
  <si>
    <t>ಶಿಖರಂ ಕಾರ್ ಪಾರ್ಕಿಂಗ್</t>
  </si>
  <si>
    <t>ശിഖരം കാർ പാർക്കിംഗ്</t>
  </si>
  <si>
    <t>Shikharam Car Parking is a designated parking facility near the Shikharam area of Srisailam.</t>
  </si>
  <si>
    <t>Snana Ghattalu, Pathalaganga, Srisailam</t>
  </si>
  <si>
    <t>స్నాన ఘట్టాలు, పాతాళగంగ, శ్రీశైలం</t>
  </si>
  <si>
    <t>स्नान घाट, पातालगंगा, श्रीशैलम</t>
  </si>
  <si>
    <t>Snana Ghattalu are designated bathing steps at Pathalaganga. They provide safe access to the river. Bathing is regulated during peak times. Visitors must follow safety instructions.</t>
  </si>
  <si>
    <t>Water Treatment Plant - Srisailam</t>
  </si>
  <si>
    <t>UTILITY</t>
  </si>
  <si>
    <t>The Water Treatment Plant processes and supplies clean water to the town. It treats raw water to make it suitable for daily use. The facility operates continuously. Public access is restricted.</t>
  </si>
  <si>
    <t>33/11 KV Electrical Substation</t>
  </si>
  <si>
    <t>33/11 కేవీ విద్యుత్ ఉప కేంద్రం</t>
  </si>
  <si>
    <t>33/11 केवी विद्युत उपकेंद्र</t>
  </si>
  <si>
    <t>33/11 கி.வி. மின்சார துணை நிலையம்</t>
  </si>
  <si>
    <t>33/11 ಕೆ.ವಿ. ವಿದ್ಯುತ್ ಉಪಕೇಂದ್ರ</t>
  </si>
  <si>
    <t>33/11 കെ.വി. വൈദ്യുതി ഉപകേന്ദ്രം</t>
  </si>
  <si>
    <t>This electrical substation manages power distribution in the Srisailam area. It helps regulate voltage and supply stability. Operations run round the clock. Entry is restricted to authorized staff.</t>
  </si>
  <si>
    <t>IndianOil</t>
  </si>
  <si>
    <t>इंडियनऑयल</t>
  </si>
  <si>
    <t>இந்தியன்ஆயில்</t>
  </si>
  <si>
    <t>ಇಂಡಿಯನ್‌ಆಯಿಲ್</t>
  </si>
  <si>
    <t>ഇന്ത്യൻഓയിൽ</t>
  </si>
  <si>
    <t>IndianOil fuel station provides petrol and diesel for vehicles. It supports local and tourist traffic. Fuel is dispensed during operating hours. Basic air and service facilities may be available.</t>
  </si>
  <si>
    <t>Shri Giri Fillings Bharat Petroleum</t>
  </si>
  <si>
    <t>श्री गिरी फ्यूलिंग स्टेशन (भारत पेट्रोलियम)</t>
  </si>
  <si>
    <t>ஸ்ரீ கிரி எரிபொருள் நிலையம் (பாரத் பெட்ரோலியம்)</t>
  </si>
  <si>
    <t>ಶ್ರೀ ಗಿರಿ ಇಂಧನ ಕೇಂದ್ರ (ಭಾರತ ಪೆಟ್ರೋಲಿಯಂ)</t>
  </si>
  <si>
    <t>ശ്രീ ഗിരി ഇന്ധന കേന്ദ്രം (ഭാരത് പെട്രോളിയം)</t>
  </si>
  <si>
    <t>This Bharat Petroleum fuel station supplies petrol and diesel. It serves private vehicles and buses. Located along a commonly used route. Operations follow standard fuel station timings.</t>
  </si>
  <si>
    <t>HDFC Bank</t>
  </si>
  <si>
    <t>HDFC బ్యాంక్</t>
  </si>
  <si>
    <t>HDFC Bank offers banking services such as deposits and withdrawals. It serves both residents and visitors. ATM access may be available.</t>
  </si>
  <si>
    <t>Union Bank of India</t>
  </si>
  <si>
    <t>యూనియన్ బ్యాంక్ ఆఫ్ ఇండియా</t>
  </si>
  <si>
    <t>யூனியன் வங்கி ஆஃப் இந்தியா</t>
  </si>
  <si>
    <t>ಯುನಿಯನ್ ಬ್ಯಾಂಕ್ ಆಫ್ ಇಂಡಿಯಾ</t>
  </si>
  <si>
    <t>യൂണിയൻ ബാങ്ക് ഓഫ് ഇന്ത്യ</t>
  </si>
  <si>
    <t>Union Bank of India provides public banking services. It supports savings, withdrawals, and account services. The branch operates on regular banking days. ATM services may be attached.</t>
  </si>
  <si>
    <t>State Bank ATM</t>
  </si>
  <si>
    <t>भारतीय स्टेट बैंक एटीएम</t>
  </si>
  <si>
    <t>ஸ்டேட் பாங்க் ஆஃப் இந்தியா ஏ.டி.எம்.</t>
  </si>
  <si>
    <t>ಸ್ಟೇಟ್ ಬ್ಯಾಂಕ್ ಆಫ್ ಇಂಡಿಯಾ ಎಟಿಎಂ</t>
  </si>
  <si>
    <t>സ്റ്റേറ്റ് ബാങ്ക് ഓഫ് ഇന്ത്യ എ.ടി.എം.</t>
  </si>
  <si>
    <t>This ATM provides cash withdrawal services. It is accessible to card holders at most hours. Useful for pilgrims and tourists.</t>
  </si>
  <si>
    <t>Andhra Bank ATM</t>
  </si>
  <si>
    <t>आंध्रा बैंक एटीएम</t>
  </si>
  <si>
    <t>ஆந்திரா வங்கி ஏ.டி.எம்.</t>
  </si>
  <si>
    <t>ಆಂಧ್ರ ಬ್ಯಾಂಕ್ ಎಟಿಎಂ</t>
  </si>
  <si>
    <t>ആന്ധ്ര ബാങ്ക് എ.ടി.എം.</t>
  </si>
  <si>
    <t>The Andhra Bank ATM allows basic banking transactions. It supports cash withdrawals and balance checks. Located within the town area. Access is usually available round the clock.</t>
  </si>
  <si>
    <t>Free Mineral Water Srisailam</t>
  </si>
  <si>
    <t>ఉచిత ఖనిజ జలం, శ్రీశైలం</t>
  </si>
  <si>
    <t>श्रीशैलम निःशुल्क खनिज जल</t>
  </si>
  <si>
    <t>ஸ்ரீசைலம் இலவச கனிம நீர்</t>
  </si>
  <si>
    <t>ಶ್ರೀಶೈಲಂ ಉಚಿತ ಖನಿಜ ನೀರು</t>
  </si>
  <si>
    <t>ശ്രീശൈലം സൗജന്യ ഖനിജ ജലം</t>
  </si>
  <si>
    <t>This facility provides free drinking water to visitors. It helps pilgrims stay hydrated. Water availability may vary by time.</t>
  </si>
  <si>
    <t>Public Toilets &amp; Bathrooms</t>
  </si>
  <si>
    <t>ప్రజా మరుగుదొడ్లు &amp; స్నాన గదులు</t>
  </si>
  <si>
    <t>सार्वजनिक शौचालय एवं स्नानघर</t>
  </si>
  <si>
    <t>பொது கழிப்பறைகள் &amp; குளியலறைகள்</t>
  </si>
  <si>
    <t>ಸಾರ್ವಜನಿಕ ಶೌಚಾಲಯಗಳು &amp; ಸ್ನಾನಗೃಹಗಳು</t>
  </si>
  <si>
    <t>പൊതു ശൗചാലയങ്ങൾ &amp; കുളിമുറികൾ</t>
  </si>
  <si>
    <t>Public toilets and bathrooms are provided for visitor convenience. They are located near busy areas. Maintenance is done regularly.</t>
  </si>
  <si>
    <t>Ladies Toilet / Washroom (Pay &amp; Use)</t>
  </si>
  <si>
    <t>మహిళల మరుగుదొడ్డి / వాష్‌రూమ్ (చెల్లింపు ఆధారితం)</t>
  </si>
  <si>
    <t>महिला शौचालय / स्नानघर (भुगतान आधारित)</t>
  </si>
  <si>
    <t>பெண்கள் கழிப்பறை / குளியலறை (கட்டணம் செலுத்தி பயன்படும்)</t>
  </si>
  <si>
    <t>ಮಹಿಳೆಯರ ಶೌಚಾಲಯ / ವಾಶ್‌ರೂಮ್ (ಪಾವತಿ ಆಧಾರಿತ)</t>
  </si>
  <si>
    <t>സ്ത്രീകളുടെ ശൗചാലയം / വാഷ്‌റൂം (പണമടച്ച് ഉപയോഗിക്കുക)</t>
  </si>
  <si>
    <t>This washroom facility is designated for women. It operates on a pay-and-use basis. Cleanliness is maintained regularly. Timings may vary.</t>
  </si>
  <si>
    <t>Infinity Cool Drinks</t>
  </si>
  <si>
    <t>ఇన్ఫినిటీ శీతల పానీయాలు</t>
  </si>
  <si>
    <t>इन्फिनिटी शीतल पेय</t>
  </si>
  <si>
    <t>இன்ஃபினிட்டி குளிர்பானங்கள்</t>
  </si>
  <si>
    <t>ಇನ್ಫಿನಿಟಿ ಶೀತಪಾನೀಯಗಳು</t>
  </si>
  <si>
    <t>ഇൻഫിനിറ്റി ശീതളപാനീയങ്ങൾ</t>
  </si>
  <si>
    <t>Infinity Cool Drinks sells cold beverages and refreshments.Service is quick. Seating may be limited.</t>
  </si>
  <si>
    <t>7 Hills Cool Drinks &amp; General Stores (Srinivas Reddy Vundavelli)</t>
  </si>
  <si>
    <t>శీతల పానీయాలు &amp; కిరాణా దుకాణాలు</t>
  </si>
  <si>
    <t>शीतल पेय एवं किराना स्टोर्स</t>
  </si>
  <si>
    <t>குளிர்பானங்கள் &amp; மளிகைக் கடைகள்</t>
  </si>
  <si>
    <t>ಶೀತಪಾನೀಯಗಳು &amp; ಕಿರಾಣಿ ಅಂಗಡಿಗಳು</t>
  </si>
  <si>
    <t>ശീതളപാനീയങ്ങൾ &amp; പലചരക്ക് കടകൾ</t>
  </si>
  <si>
    <t>This shop offers cool drinks and general daily-use items. It serves quick purchase needs.</t>
  </si>
  <si>
    <t>Kanaka Durga Digital Studio and Xerox</t>
  </si>
  <si>
    <t>This center provides photo printing and xerox services. It also supports basic digital work.</t>
  </si>
  <si>
    <t>Royal Xerox Center</t>
  </si>
  <si>
    <t>రాయల్ జిరాక్స్ సెంటర్</t>
  </si>
  <si>
    <t>रॉयल ज़िरॉक्स सेंटर</t>
  </si>
  <si>
    <t>ராயல் ஜிராக்ஸ் சென்டர்</t>
  </si>
  <si>
    <t>ರಾಯಲ್ ಜಿರಾಕ್ಸ್ ಸೆಂಟರ್</t>
  </si>
  <si>
    <t>റോയൽ സിറോക്സ് സെന്റർ</t>
  </si>
  <si>
    <t>Royal Xerox Center offers photocopy and print services.</t>
  </si>
  <si>
    <t>Sneha Xerox Shop</t>
  </si>
  <si>
    <t>స్నేహ జిరాక్స్ షాప్</t>
  </si>
  <si>
    <t>स्नेहा ज़िरॉक्स शॉप</t>
  </si>
  <si>
    <t>ஸ்நேஹா ஜிராக்ஸ் கடை</t>
  </si>
  <si>
    <t>ಸ್ನೇಹ ಜಿರಾಕ್ಸ್ ಅಂಗಡಿ</t>
  </si>
  <si>
    <t>സ്നേഹ സിറോക്സ് കട</t>
  </si>
  <si>
    <t>Sneha Xerox Shop provides copying and document services</t>
  </si>
  <si>
    <t>Puncher Shop and New Tyres</t>
  </si>
  <si>
    <t>పంచర్ షాప్ &amp; కొత్త టైర్లు</t>
  </si>
  <si>
    <t>पंचर शॉप एवं नए टायर</t>
  </si>
  <si>
    <t>பஞ்சர் கடை &amp; புதிய டயர்கள்</t>
  </si>
  <si>
    <t>ಪಂಚರ್ ಅಂಗಡಿ &amp; ಹೊಸ ಟೈರ್‌ಗಳು</t>
  </si>
  <si>
    <t>പഞ്ചർ കട &amp; പുതിയ ടയറുകൾ</t>
  </si>
  <si>
    <t>This shop handles tyre puncture repairs and new tyre sales. It supports two-wheelers and four-wheelers. Service is usually quick</t>
  </si>
  <si>
    <t>Tyre Repair &amp; Puncture Shop</t>
  </si>
  <si>
    <t>టైర్ మరమ్మత్తు &amp; పంచర్ షాప్</t>
  </si>
  <si>
    <t>टायर मरम्मत एवं पंचर शॉप</t>
  </si>
  <si>
    <t>டயர் பழுது பார்க்கும் &amp; பஞ்சர் கடை</t>
  </si>
  <si>
    <t>ಟೈರ್ ದುರಸ್ತಿ &amp; ಪಂಚರ್ ಅಂಗಡಿ</t>
  </si>
  <si>
    <t>ടയർ അറ്റകുറ്റപ്പണി &amp; പഞ്ചർ കട</t>
  </si>
  <si>
    <t>This facility repairs punctured tyres. It offers basic tyre maintenance. Useful for emergency stops. Service time depends on workload.</t>
  </si>
  <si>
    <t>SBMS Automobile Garage</t>
  </si>
  <si>
    <t>SBMS Automobile Garage provides vehicle repair services. It handles basic mechanical work. Suitable for minor repairs.</t>
  </si>
  <si>
    <t>Niru's Designer Boutique</t>
  </si>
  <si>
    <t>నిరు డిజైనర్ బుటిక్</t>
  </si>
  <si>
    <t>नीरू डिज़ाइनर बुटीक</t>
  </si>
  <si>
    <t>நிரு டிசைனர் பூட்டிக்</t>
  </si>
  <si>
    <t>ನಿರು ಡಿಸೈನರ್ ಬೋಟಿಕ್</t>
  </si>
  <si>
    <t>നിരു ഡിസൈനർ ബൂട്ടിക്</t>
  </si>
  <si>
    <t>This boutique offers designer clothing and tailoring services. It caters mainly to women’s wear. Products are displayed for selection.</t>
  </si>
  <si>
    <t>Lakshmi Professional Makeup Artist, Srisailam</t>
  </si>
  <si>
    <t>లక్ష్మీ ప్రొఫెషనల్ మేకప్ ఆర్టిస్ట్, శ్రీశైలం</t>
  </si>
  <si>
    <t>लक्ष्मी प्रोफेशनल मेकअप आर्टिस्ट, श्रीशैलम</t>
  </si>
  <si>
    <t>லக்ஷ்மி புரொஃபெஷனல் மேக்கப் ஆர்டிஸ்ட், ஸ்ரீசைலம்</t>
  </si>
  <si>
    <t>ಲಕ್ಷ್ಮಿ ಪ್ರೊಫೆಷನಲ್ ಮೆಕಪ್ ಆರ್ಟಿಸ್ಟ್, ಶ್ರೀಶೈಲಂ</t>
  </si>
  <si>
    <t>ലക്ഷ്മി പ്രൊഫഷണൽ മേക്കപ്പ് ആർട്ടിസ്റ്റ്, ശ്രീശൈലം</t>
  </si>
  <si>
    <t>This service provides professional makeup for events. Appointments may be required. Focus is on personal grooming services. Operates based on bookings.</t>
  </si>
  <si>
    <t>Srisailam Tattoo Studio</t>
  </si>
  <si>
    <t>The tattoo studio offers body art services. Designs are selected by customers. Hygiene standards are followed.</t>
  </si>
  <si>
    <t>Raju Bangles Store</t>
  </si>
  <si>
    <t>This store sells bangles and fashion accessories. It caters mainly to women shoppers.</t>
  </si>
  <si>
    <t>Kangan Mahal</t>
  </si>
  <si>
    <t>Kangan Mahal offers bangles and ornament accessories. It is commonly visited by shoppers. Products are displayed for easy selection. Located in the shopping area.</t>
  </si>
  <si>
    <t>S.B.M.S Fabrics</t>
  </si>
  <si>
    <t>This shop sells fabric and clothing materials. It serves tailoring and personal purchase needs. Various fabric types are available.</t>
  </si>
  <si>
    <t>Sri Lalithamba Vanigya Samudayam</t>
  </si>
  <si>
    <t>శ్రీ లలితాంబ వాణిజ్య సముదాయం</t>
  </si>
  <si>
    <t>ஸ்ரீ லலிதாம்பா வாணிக சமுதாயம்</t>
  </si>
  <si>
    <t>ಶ್ರೀ ಲಲಿತಾಂಬ ವಾಣಿಜ್ಯ ಸಮುದಾಯ</t>
  </si>
  <si>
    <t>ശ്രീ ലലിതാംബ വാണിജ്യ സമുദായം</t>
  </si>
  <si>
    <t>This is a commercial association or trading facility. It supports local business activities. Access is mainly for members and visitors.</t>
  </si>
  <si>
    <t>Lalithambika Shopping Complex, Srisailam</t>
  </si>
  <si>
    <t>లలితాంబిక షాపింగ్ కాంప్లెక్స్, శ్రీశైలం</t>
  </si>
  <si>
    <t>லலிதாம்பிகா ஷாப்பிங் காம்ப்ளெக்ஸ், ஸ்ரீசைலம்</t>
  </si>
  <si>
    <t>ಲಲಿತಾಂಬಿಕಾ ಶಾಪಿಂಗ್ ಕಾಂಪ್ಲೆಕ್ಸ್, ಶ್ರೀಶೈಲಂ</t>
  </si>
  <si>
    <t>ലലിതാംബിക ഷോപ്പിംഗ് കോംപ്ലക്സ്, ശ്രീശൈലം</t>
  </si>
  <si>
    <t>This shopping complex houses multiple retail shops. It provides a single place for shopping needs. Visitors can access various services.</t>
  </si>
  <si>
    <t>Sri Sri Tattva Store</t>
  </si>
  <si>
    <t>Sri Sri Tattva Store sells wellness and daily-use products. Items include health and lifestyle goods. Products are pre-packed.</t>
  </si>
  <si>
    <t>Bharath General Stores</t>
  </si>
  <si>
    <t>భారత్ జనరల్ స్టోర్స్</t>
  </si>
  <si>
    <t>This general store sells groceries and daily essentials. Items are available at standard prices.</t>
  </si>
  <si>
    <t>BHUVANA Shop</t>
  </si>
  <si>
    <t>భువనా షాప్</t>
  </si>
  <si>
    <t>भुवना शॉप</t>
  </si>
  <si>
    <t>புவனா கடை</t>
  </si>
  <si>
    <t>ಭುವನಾ ಅಂಗಡಿ</t>
  </si>
  <si>
    <t>ഭുവന കട</t>
  </si>
  <si>
    <t>BHUVANA Shop offers general merchandise and small goods. It supports everyday shopping needs.</t>
  </si>
  <si>
    <t>Eshwara Traders</t>
  </si>
  <si>
    <t>ఈశ్వర ట్రేడర్స్</t>
  </si>
  <si>
    <t>Eshwara Traders supplies goods for local trade and retail. It supports business and household needs.</t>
  </si>
  <si>
    <t>Ramsai Sweets &amp; Bakery</t>
  </si>
  <si>
    <t>रामसाई मिठाई दुकान</t>
  </si>
  <si>
    <t>ராமசாய் இனிப்புக் கடை</t>
  </si>
  <si>
    <t>ರಾಮಸಾಯಿ ಸಿಹಿ ಅಂಗಡಿ</t>
  </si>
  <si>
    <t>രാംസായി മിഠായി കട</t>
  </si>
  <si>
    <t>Ramsai Sweets &amp; Bakery sells sweets and bakery items. Products are prepared fresh daily. It is popular for snacks and desserts.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</si>
</sst>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b/>
      <color theme="1"/>
      <name val="Arial"/>
      <scheme val="minor"/>
    </font>
    <font>
      <color theme="1"/>
      <name val="Arial"/>
    </font>
    <font>
      <sz val="11.0"/>
      <color rgb="FF000000"/>
      <name val="Consolas"/>
    </font>
    <font>
      <color theme="1"/>
      <name val="Arial"/>
      <scheme val="minor"/>
    </font>
    <font>
      <color rgb="FF1F1F1F"/>
      <name val="&quot;Google Sans Mono&quot;"/>
    </font>
    <font>
      <sz val="10.0"/>
      <color rgb="FF000000"/>
      <name val="Roboto"/>
    </font>
    <font>
      <sz val="10.0"/>
      <color rgb="FF000000"/>
      <name val="Arial"/>
    </font>
  </fonts>
  <fills count="4">
    <fill>
      <patternFill patternType="none"/>
    </fill>
    <fill>
      <patternFill patternType="lightGray"/>
    </fill>
    <fill>
      <patternFill patternType="solid">
        <fgColor rgb="FFFFFFFF"/>
        <bgColor rgb="FFFFFFFF"/>
      </patternFill>
    </fill>
    <fill>
      <patternFill patternType="solid">
        <fgColor rgb="FFF0F4F9"/>
        <bgColor rgb="FFF0F4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1" fillId="0" fontId="1" numFmtId="0" xfId="0" applyAlignment="1" applyBorder="1" applyFont="1">
      <alignment horizontal="center" vertical="bottom"/>
    </xf>
    <xf borderId="1" fillId="0" fontId="2" numFmtId="0" xfId="0" applyAlignment="1" applyBorder="1" applyFont="1">
      <alignment horizontal="center" readingOrder="0"/>
    </xf>
    <xf borderId="1" fillId="0" fontId="2" numFmtId="0" xfId="0" applyAlignment="1" applyBorder="1" applyFont="1">
      <alignment horizontal="center" readingOrder="0" vertical="top"/>
    </xf>
    <xf borderId="1" fillId="0" fontId="3" numFmtId="0" xfId="0" applyAlignment="1" applyBorder="1" applyFont="1">
      <alignment horizontal="center" readingOrder="0" vertical="bottom"/>
    </xf>
    <xf borderId="1" fillId="0" fontId="3" numFmtId="0" xfId="0" applyAlignment="1" applyBorder="1" applyFont="1">
      <alignment horizontal="center" vertical="bottom"/>
    </xf>
    <xf borderId="0" fillId="2" fontId="4" numFmtId="0" xfId="0" applyAlignment="1" applyFill="1" applyFont="1">
      <alignment horizontal="center" readingOrder="0"/>
    </xf>
    <xf borderId="1" fillId="0" fontId="5" numFmtId="0" xfId="0" applyAlignment="1" applyBorder="1" applyFont="1">
      <alignment horizontal="center" readingOrder="0"/>
    </xf>
    <xf borderId="1" fillId="0" fontId="5" numFmtId="0" xfId="0" applyAlignment="1" applyBorder="1" applyFont="1">
      <alignment horizontal="center" vertical="top"/>
    </xf>
    <xf borderId="1" fillId="0" fontId="5" numFmtId="0" xfId="0" applyAlignment="1" applyBorder="1" applyFont="1">
      <alignment horizontal="center"/>
    </xf>
    <xf borderId="1" fillId="3" fontId="6" numFmtId="0" xfId="0" applyAlignment="1" applyBorder="1" applyFill="1" applyFont="1">
      <alignment horizontal="center"/>
    </xf>
    <xf borderId="1" fillId="0" fontId="5" numFmtId="0" xfId="0" applyAlignment="1" applyBorder="1" applyFont="1">
      <alignment horizontal="center" readingOrder="0" vertical="top"/>
    </xf>
    <xf borderId="1" fillId="0" fontId="5" numFmtId="0" xfId="0" applyAlignment="1" applyBorder="1" applyFont="1">
      <alignment horizontal="center" readingOrder="0" shrinkToFit="0" wrapText="0"/>
    </xf>
    <xf borderId="1" fillId="2" fontId="7" numFmtId="0" xfId="0" applyAlignment="1" applyBorder="1" applyFont="1">
      <alignment horizontal="center" readingOrder="0" shrinkToFit="0" wrapText="0"/>
    </xf>
    <xf borderId="1" fillId="0" fontId="0" numFmtId="0" xfId="0" applyAlignment="1" applyBorder="1" applyFont="1">
      <alignment horizontal="center" readingOrder="0" shrinkToFit="0" wrapText="0"/>
    </xf>
    <xf borderId="1" fillId="0" fontId="5" numFmtId="0" xfId="0" applyAlignment="1" applyBorder="1" applyFont="1">
      <alignment horizontal="center" readingOrder="0" shrinkToFit="0" vertical="top" wrapText="0"/>
    </xf>
    <xf borderId="1" fillId="2" fontId="3" numFmtId="0" xfId="0" applyAlignment="1" applyBorder="1" applyFont="1">
      <alignment horizontal="center" vertical="bottom"/>
    </xf>
    <xf borderId="1" fillId="2" fontId="8" numFmtId="0" xfId="0" applyAlignment="1" applyBorder="1" applyFont="1">
      <alignment horizontal="center" readingOrder="0" shrinkToFit="0" wrapText="0"/>
    </xf>
    <xf borderId="1" fillId="0" fontId="5" numFmtId="0" xfId="0" applyAlignment="1" applyBorder="1" applyFont="1">
      <alignment horizontal="center" readingOrder="0" shrinkToFit="0" vertical="center" wrapText="0"/>
    </xf>
    <xf borderId="1" fillId="3" fontId="6" numFmtId="0" xfId="0" applyAlignment="1" applyBorder="1" applyFont="1">
      <alignment horizontal="center" readingOrder="0"/>
    </xf>
    <xf borderId="0" fillId="0" fontId="5" numFmtId="0" xfId="0" applyAlignment="1" applyFont="1">
      <alignment horizontal="center" readingOrder="0"/>
    </xf>
    <xf borderId="1" fillId="2" fontId="0" numFmtId="0" xfId="0" applyAlignment="1" applyBorder="1" applyFont="1">
      <alignment horizontal="center" readingOrder="0"/>
    </xf>
    <xf borderId="1" fillId="2" fontId="7" numFmtId="0" xfId="0" applyAlignment="1" applyBorder="1" applyFont="1">
      <alignment horizontal="center" readingOrder="0"/>
    </xf>
    <xf borderId="1" fillId="0" fontId="3" numFmtId="0" xfId="0" applyAlignment="1" applyBorder="1" applyFont="1">
      <alignment horizontal="center" readingOrder="0" shrinkToFit="0" vertical="bottom" wrapText="0"/>
    </xf>
    <xf borderId="1" fillId="2" fontId="8" numFmtId="0" xfId="0" applyAlignment="1" applyBorder="1" applyFont="1">
      <alignment horizontal="center" readingOrder="0"/>
    </xf>
    <xf borderId="0" fillId="0" fontId="5" numFmtId="0" xfId="0" applyAlignment="1" applyFont="1">
      <alignment horizontal="center"/>
    </xf>
    <xf borderId="0" fillId="0" fontId="5"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66.0"/>
    <col customWidth="1" min="3" max="3" width="19.0"/>
    <col customWidth="1" min="4" max="4" width="23.0"/>
    <col customWidth="1" min="5" max="5" width="39.88"/>
    <col customWidth="1" min="6" max="6" width="45.75"/>
    <col customWidth="1" min="7" max="7" width="80.63"/>
    <col customWidth="1" min="8" max="8" width="73.13"/>
    <col customWidth="1" min="9" max="9" width="54.63"/>
    <col customWidth="1" min="10" max="10" width="74.63"/>
    <col customWidth="1" min="11" max="11" width="20.5"/>
    <col customWidth="1" min="12" max="12" width="21.13"/>
    <col customWidth="1" min="13" max="13" width="20.13"/>
    <col customWidth="1" min="14" max="14" width="26.25"/>
    <col customWidth="1" min="15" max="15" width="32.13"/>
    <col customWidth="1" min="16" max="16" width="34.75"/>
  </cols>
  <sheetData>
    <row r="1">
      <c r="A1" s="1" t="s">
        <v>0</v>
      </c>
      <c r="B1" s="1" t="s">
        <v>1</v>
      </c>
      <c r="C1" s="1" t="s">
        <v>2</v>
      </c>
      <c r="D1" s="1" t="s">
        <v>3</v>
      </c>
      <c r="E1" s="2" t="s">
        <v>4</v>
      </c>
      <c r="F1" s="3" t="s">
        <v>5</v>
      </c>
      <c r="G1" s="3" t="s">
        <v>6</v>
      </c>
      <c r="H1" s="3" t="s">
        <v>7</v>
      </c>
      <c r="I1" s="3" t="s">
        <v>8</v>
      </c>
      <c r="J1" s="3" t="s">
        <v>9</v>
      </c>
      <c r="K1" s="4" t="s">
        <v>10</v>
      </c>
      <c r="L1" s="3" t="s">
        <v>11</v>
      </c>
      <c r="M1" s="3" t="s">
        <v>12</v>
      </c>
      <c r="N1" s="3" t="s">
        <v>13</v>
      </c>
      <c r="O1" s="3" t="s">
        <v>14</v>
      </c>
      <c r="P1" s="3" t="s">
        <v>15</v>
      </c>
    </row>
    <row r="2">
      <c r="A2" s="5">
        <v>1.0</v>
      </c>
      <c r="B2" s="6" t="s">
        <v>16</v>
      </c>
      <c r="C2" s="6">
        <v>16.0729241</v>
      </c>
      <c r="D2" s="6">
        <v>78.8697979</v>
      </c>
      <c r="E2" s="5" t="s">
        <v>17</v>
      </c>
      <c r="F2" s="7" t="s">
        <v>18</v>
      </c>
      <c r="G2" s="8" t="s">
        <v>19</v>
      </c>
      <c r="H2" s="8" t="s">
        <v>20</v>
      </c>
      <c r="I2" s="8" t="s">
        <v>21</v>
      </c>
      <c r="J2" s="8" t="s">
        <v>22</v>
      </c>
      <c r="K2" s="9"/>
      <c r="L2" s="10"/>
      <c r="M2" s="10"/>
      <c r="N2" s="10"/>
      <c r="O2" s="10"/>
      <c r="P2" s="10"/>
    </row>
    <row r="3">
      <c r="A3" s="6">
        <f t="shared" ref="A3:A251" si="1">A2+1</f>
        <v>2</v>
      </c>
      <c r="B3" s="5" t="s">
        <v>23</v>
      </c>
      <c r="C3" s="6">
        <v>16.0740593</v>
      </c>
      <c r="D3" s="6">
        <v>78.8673168</v>
      </c>
      <c r="E3" s="5" t="s">
        <v>24</v>
      </c>
      <c r="F3" s="11" t="str">
        <f>IFERROR(__xludf.DUMMYFUNCTION("GOOGLETRANSLATE(B3,""en"",""te"")"),"శ్రీ భ్రమరాంబ మల్లికార్జున స్వామి వర దేవస్థానం (ప్రధాన ఆలయం)")</f>
        <v>శ్రీ భ్రమరాంబ మల్లికార్జున స్వామి వర దేవస్థానం (ప్రధాన ఆలయం)</v>
      </c>
      <c r="G3" s="8" t="s">
        <v>25</v>
      </c>
      <c r="H3" s="8" t="s">
        <v>26</v>
      </c>
      <c r="I3" s="8" t="s">
        <v>27</v>
      </c>
      <c r="J3" s="8" t="s">
        <v>28</v>
      </c>
      <c r="K3" s="12" t="s">
        <v>29</v>
      </c>
      <c r="L3" s="10" t="str">
        <f>IFERROR(__xludf.DUMMYFUNCTION("GOOGLETRANSLATE(K3,""en"",""te"")"),"ఇది శ్రీశైలంలోని ప్రధాన ఆలయ సముదాయం, ఇది మల్లికార్జున స్వామి మరియు భ్రమరాంబ దేవికి అంకితం చేయబడింది. ఇది శివుని పన్నెండు జ్యోతిర్లింగాలలో ఒకటి. ఈ ఆలయం దేశవ్యాప్తంగా భక్తులను ఆకర్షించే ప్రధాన తీర్థయాత్ర కేంద్రం.")</f>
        <v>ఇది శ్రీశైలంలోని ప్రధాన ఆలయ సముదాయం, ఇది మల్లికార్జున స్వామి మరియు భ్రమరాంబ దేవికి అంకితం చేయబడింది. ఇది శివుని పన్నెండు జ్యోతిర్లింగాలలో ఒకటి. ఈ ఆలయం దేశవ్యాప్తంగా భక్తులను ఆకర్షించే ప్రధాన తీర్థయాత్ర కేంద్రం.</v>
      </c>
      <c r="M3" s="10" t="str">
        <f>IFERROR(__xludf.DUMMYFUNCTION("GOOGLETRANSLATE(K3,""en"",""hi"")"),"यह श्रीशैलम का मुख्य मंदिर परिसर है, जो भगवान मल्लिकार्जुन और देवी भ्रामरम्बा को समर्पित है। यह भगवान शिव के बारह ज्योतिर्लिंगों में से एक है। यह मंदिर एक प्रमुख तीर्थस्थल है, जहाँ देशभर से श्रद्धालु दर्शन के लिए आते हैं।")</f>
        <v>यह श्रीशैलम का मुख्य मंदिर परिसर है, जो भगवान मल्लिकार्जुन और देवी भ्रामरम्बा को समर्पित है। यह भगवान शिव के बारह ज्योतिर्लिंगों में से एक है। यह मंदिर एक प्रमुख तीर्थस्थल है, जहाँ देशभर से श्रद्धालु दर्शन के लिए आते हैं।</v>
      </c>
      <c r="N3" s="10" t="str">
        <f>IFERROR(__xludf.DUMMYFUNCTION("GOOGLETRANSLATE(K3,""en"",""ta"")"),"இது ஸ்ரீசைலத்தின் முக்கிய கோயில் வளாகமாகும், இது மல்லிகார்ஜுனருக்கும் பிரம்மராம்பா தேவிக்கும் அர்ப்பணிக்கப்பட்டுள்ளது. இது சிவபெருமானின் பன்னிரண்டு ஜோதிர்லிங்கங்களில் ஒன்றாகும். நாடு முழுவதிலுமிருந்து பக்தர்களை ஈர்க்கும் ஒரு முக்கிய யாத்திரை மையமாக இந்த க"&amp;"ோயில் உள்ளது.")</f>
        <v>இது ஸ்ரீசைலத்தின் முக்கிய கோயில் வளாகமாகும், இது மல்லிகார்ஜுனருக்கும் பிரம்மராம்பா தேவிக்கும் அர்ப்பணிக்கப்பட்டுள்ளது. இது சிவபெருமானின் பன்னிரண்டு ஜோதிர்லிங்கங்களில் ஒன்றாகும். நாடு முழுவதிலுமிருந்து பக்தர்களை ஈர்க்கும் ஒரு முக்கிய யாத்திரை மையமாக இந்த கோயில் உள்ளது.</v>
      </c>
      <c r="O3" s="10" t="str">
        <f>IFERROR(__xludf.DUMMYFUNCTION("GOOGLETRANSLATE(K3,""en"",""kn"")"),"ಇದು ಶ್ರೀಶೈಲದ ಪ್ರಮುಖ ದೇವಾಲಯ ಸಂಕೀರ್ಣವಾಗಿದ್ದು, ಮಲ್ಲಿಕಾರ್ಜುನ ದೇವರು ಮತ್ತು ಭ್ರಮರಾಂಬ ದೇವಿಗೆ ಸಮರ್ಪಿತವಾಗಿದೆ. ಇದು ಶಿವನ ಹನ್ನೆರಡು ಜ್ಯೋತಿರ್ಲಿಂಗಗಳಲ್ಲಿ ಒಂದಾಗಿದೆ. ಈ ದೇವಾಲಯವು ದೇಶಾದ್ಯಂತದ ಭಕ್ತರನ್ನು ಆಕರ್ಷಿಸುವ ಪ್ರಮುಖ ಯಾತ್ರಾ ಕೇಂದ್ರವಾಗಿದೆ.")</f>
        <v>ಇದು ಶ್ರೀಶೈಲದ ಪ್ರಮುಖ ದೇವಾಲಯ ಸಂಕೀರ್ಣವಾಗಿದ್ದು, ಮಲ್ಲಿಕಾರ್ಜುನ ದೇವರು ಮತ್ತು ಭ್ರಮರಾಂಬ ದೇವಿಗೆ ಸಮರ್ಪಿತವಾಗಿದೆ. ಇದು ಶಿವನ ಹನ್ನೆರಡು ಜ್ಯೋತಿರ್ಲಿಂಗಗಳಲ್ಲಿ ಒಂದಾಗಿದೆ. ಈ ದೇವಾಲಯವು ದೇಶಾದ್ಯಂತದ ಭಕ್ತರನ್ನು ಆಕರ್ಷಿಸುವ ಪ್ರಮುಖ ಯಾತ್ರಾ ಕೇಂದ್ರವಾಗಿದೆ.</v>
      </c>
      <c r="P3" s="10" t="str">
        <f>IFERROR(__xludf.DUMMYFUNCTION("GOOGLETRANSLATE(K3,""en"",""ml"")"),"ശ്രീശൈലത്തിലെ പ്രധാന ക്ഷേത്ര സമുച്ചയമാണിത്, മല്ലികാർജ്ജുനനും ഭ്രമരംബ ദേവിക്കും സമർപ്പിച്ചിരിക്കുന്നു. ശിവന്റെ പന്ത്രണ്ട് ജ്യോതിർലിംഗങ്ങളിൽ ഒന്നാണിത്. രാജ്യമെമ്പാടുമുള്ള ഭക്തരെ ആകർഷിക്കുന്ന ഒരു പ്രധാന തീർത്ഥാടന കേന്ദ്രമാണിത്.")</f>
        <v>ശ്രീശൈലത്തിലെ പ്രധാന ക്ഷേത്ര സമുച്ചയമാണിത്, മല്ലികാർജ്ജുനനും ഭ്രമരംബ ദേവിക്കും സമർപ്പിച്ചിരിക്കുന്നു. ശിവന്റെ പന്ത്രണ്ട് ജ്യോതിർലിംഗങ്ങളിൽ ഒന്നാണിത്. രാജ്യമെമ്പാടുമുള്ള ഭക്തരെ ആകർഷിക്കുന്ന ഒരു പ്രധാന തീർത്ഥാടന കേന്ദ്രമാണിത്.</v>
      </c>
    </row>
    <row r="4" ht="17.25" customHeight="1">
      <c r="A4" s="6">
        <f t="shared" si="1"/>
        <v>3</v>
      </c>
      <c r="B4" s="13" t="s">
        <v>30</v>
      </c>
      <c r="C4" s="14">
        <v>16.07333</v>
      </c>
      <c r="D4" s="15">
        <v>78.86778</v>
      </c>
      <c r="E4" s="13" t="s">
        <v>24</v>
      </c>
      <c r="F4" s="13" t="s">
        <v>31</v>
      </c>
      <c r="G4" s="13" t="s">
        <v>32</v>
      </c>
      <c r="H4" s="13" t="s">
        <v>33</v>
      </c>
      <c r="I4" s="13" t="s">
        <v>34</v>
      </c>
      <c r="J4" s="13" t="s">
        <v>35</v>
      </c>
      <c r="K4" s="16" t="s">
        <v>36</v>
      </c>
      <c r="L4" s="10" t="str">
        <f>IFERROR(__xludf.DUMMYFUNCTION("GOOGLETRANSLATE(K4,""en"",""te"")"),"శ్రీశైలంలోని మల్లికార్జున స్వామి ఆలయం యొక్క ప్రధాన ద్వార గోపురాలలో దక్షిణ గోపురం ఒకటి.
ఇది సాంప్రదాయ ద్రావిడ ఆలయ నిర్మాణం మరియు వివరణాత్మక చేతిపనులను ప్రతిబింబిస్తుంది.
గోపురం భక్తులకు ముఖ్యమైన ప్రవేశ ద్వారంగా పనిచేస్తుంది.")</f>
        <v>శ్రీశైలంలోని మల్లికార్జున స్వామి ఆలయం యొక్క ప్రధాన ద్వార గోపురాలలో దక్షిణ గోపురం ఒకటి.
ఇది సాంప్రదాయ ద్రావిడ ఆలయ నిర్మాణం మరియు వివరణాత్మక చేతిపనులను ప్రతిబింబిస్తుంది.
గోపురం భక్తులకు ముఖ్యమైన ప్రవేశ ద్వారంగా పనిచేస్తుంది.</v>
      </c>
      <c r="M4" s="10" t="str">
        <f>IFERROR(__xludf.DUMMYFUNCTION("GOOGLETRANSLATE(K4,""en"",""hi"")"),"श्रीशैलम स्थित मल्लिकार्जुन स्वामी मंदिर का दक्षिणी गोपुरम प्रमुख प्रवेश द्वारों में से एक है।
यह पारंपरिक द्रविड़ मंदिर वास्तुकला और बारीक कारीगरी का उत्कृष्ट उदाहरण है।
यह गोपुरम श्रद्धालुओं के लिए एक महत्वपूर्ण प्रवेश द्वार है।")</f>
        <v>श्रीशैलम स्थित मल्लिकार्जुन स्वामी मंदिर का दक्षिणी गोपुरम प्रमुख प्रवेश द्वारों में से एक है।
यह पारंपरिक द्रविड़ मंदिर वास्तुकला और बारीक कारीगरी का उत्कृष्ट उदाहरण है।
यह गोपुरम श्रद्धालुओं के लिए एक महत्वपूर्ण प्रवेश द्वार है।</v>
      </c>
      <c r="N4" s="10" t="str">
        <f>IFERROR(__xludf.DUMMYFUNCTION("GOOGLETRANSLATE(K4,""en"",""ta"")"),"ஸ்ரீசைலத்தில் உள்ள மல்லிகார்ஜுன சுவாமி கோயிலின் முக்கிய நுழைவாயில் கோபுரங்களில் தெற்கு கோபுரமும் ஒன்றாகும்.
இது பாரம்பரிய திராவிட கோயில் கட்டிடக்கலை மற்றும் விரிவான கைவினைத்திறனை பிரதிபலிக்கிறது.
கோபுரம் பக்தர்களுக்கு ஒரு முக்கியமான நுழைவாயிலாக செயல்படு"&amp;"கிறது.")</f>
        <v>ஸ்ரீசைலத்தில் உள்ள மல்லிகார்ஜுன சுவாமி கோயிலின் முக்கிய நுழைவாயில் கோபுரங்களில் தெற்கு கோபுரமும் ஒன்றாகும்.
இது பாரம்பரிய திராவிட கோயில் கட்டிடக்கலை மற்றும் விரிவான கைவினைத்திறனை பிரதிபலிக்கிறது.
கோபுரம் பக்தர்களுக்கு ஒரு முக்கியமான நுழைவாயிலாக செயல்படுகிறது.</v>
      </c>
      <c r="O4" s="8" t="str">
        <f>IFERROR(__xludf.DUMMYFUNCTION("GOOGLETRANSLATE(K4,""en"",""kn"")"),"ದಕ್ಷಿಣ ಗೋಪುರವು ಶ್ರೀಶೈಲದ ಮಲ್ಲಿಕಾರ್ಜುನ ಸ್ವಾಮಿ ದೇವಾಲಯದ ಪ್ರಮುಖ ದ್ವಾರ ಗೋಪುರಗಳಲ್ಲಿ ಒಂದಾಗಿದೆ.
ಇದು ಸಾಂಪ್ರದಾಯಿಕ ದ್ರಾವಿಡ ದೇವಾಲಯ ವಾಸ್ತುಶಿಲ್ಪ ಮತ್ತು ವಿವರವಾದ ಕರಕುಶಲತೆಯನ್ನು ಪ್ರತಿಬಿಂಬಿಸುತ್ತದೆ.
ಗೋಪುರವು ಭಕ್ತರಿಗೆ ಪ್ರಮುಖ ಪ್ರವೇಶದ್ವಾರವಾಗಿ ಕಾರ್ಯನಿರ್ವಹಿಸುತ್ತದೆ.")</f>
        <v>ದಕ್ಷಿಣ ಗೋಪುರವು ಶ್ರೀಶೈಲದ ಮಲ್ಲಿಕಾರ್ಜುನ ಸ್ವಾಮಿ ದೇವಾಲಯದ ಪ್ರಮುಖ ದ್ವಾರ ಗೋಪುರಗಳಲ್ಲಿ ಒಂದಾಗಿದೆ.
ಇದು ಸಾಂಪ್ರದಾಯಿಕ ದ್ರಾವಿಡ ದೇವಾಲಯ ವಾಸ್ತುಶಿಲ್ಪ ಮತ್ತು ವಿವರವಾದ ಕರಕುಶಲತೆಯನ್ನು ಪ್ರತಿಬಿಂಬಿಸುತ್ತದೆ.
ಗೋಪುರವು ಭಕ್ತರಿಗೆ ಪ್ರಮುಖ ಪ್ರವೇಶದ್ವಾರವಾಗಿ ಕಾರ್ಯನಿರ್ವಹಿಸುತ್ತದೆ.</v>
      </c>
      <c r="P4" s="10" t="str">
        <f>IFERROR(__xludf.DUMMYFUNCTION("GOOGLETRANSLATE(K4,""en"",""ml"")"),"ശ്രീശൈലത്തിലെ മല്ലികാർജ്ജുന സ്വാമി ക്ഷേത്രത്തിലെ പ്രധാന കവാടങ്ങളിൽ ഒന്നാണ് തെക്കൻ ഗോപുരം.
പരമ്പരാഗത ദ്രാവിഡ ക്ഷേത്ര വാസ്തുവിദ്യയും വിശദമായ കരകൗശല വൈദഗ്ധ്യവും ഇത് പ്രതിഫലിപ്പിക്കുന്നു.
ഭക്തർക്ക് ഒരു പ്രധാന പ്രവേശന കവാടമായി ഗോപുരം പ്രവർത്തിക്കുന്നു.")</f>
        <v>ശ്രീശൈലത്തിലെ മല്ലികാർജ്ജുന സ്വാമി ക്ഷേത്രത്തിലെ പ്രധാന കവാടങ്ങളിൽ ഒന്നാണ് തെക്കൻ ഗോപുരം.
പരമ്പരാഗത ദ്രാവിഡ ക്ഷേത്ര വാസ്തുവിദ്യയും വിശദമായ കരകൗശല വൈദഗ്ധ്യവും ഇത് പ്രതിഫലിപ്പിക്കുന്നു.
ഭക്തർക്ക് ഒരു പ്രധാന പ്രവേശന കവാടമായി ഗോപുരം പ്രവർത്തിക്കുന്നു.</v>
      </c>
    </row>
    <row r="5">
      <c r="A5" s="6">
        <f t="shared" si="1"/>
        <v>4</v>
      </c>
      <c r="B5" s="6" t="s">
        <v>37</v>
      </c>
      <c r="C5" s="6">
        <v>16.0576659</v>
      </c>
      <c r="D5" s="6">
        <v>78.8785223</v>
      </c>
      <c r="E5" s="5" t="s">
        <v>24</v>
      </c>
      <c r="F5" s="11" t="str">
        <f>IFERROR(__xludf.DUMMYFUNCTION("GOOGLETRANSLATE(B5,""en"",""te"")"),"శ్రీ సాక్షి గణపతి స్వామి దేవాలయం")</f>
        <v>శ్రీ సాక్షి గణపతి స్వామి దేవాలయం</v>
      </c>
      <c r="G5" s="10" t="str">
        <f>IFERROR(__xludf.DUMMYFUNCTION("GOOGLETRANSLATE(B5,""en"",""hi"")"),"श्री साक्षी गणपति स्वामी मंदिर")</f>
        <v>श्री साक्षी गणपति स्वामी मंदिर</v>
      </c>
      <c r="H5" s="10" t="str">
        <f>IFERROR(__xludf.DUMMYFUNCTION("GOOGLETRANSLATE(B5,""en"",""ta"")"),"ஸ்ரீ சாக்ஷி கணபதி ஸ்வாமி கோவில்")</f>
        <v>ஸ்ரீ சாக்ஷி கணபதி ஸ்வாமி கோவில்</v>
      </c>
      <c r="I5" s="10" t="str">
        <f>IFERROR(__xludf.DUMMYFUNCTION("GOOGLETRANSLATE(B5,""en"",""kn"")"),"ಶ್ರೀ ಸಾಕ್ಷಿ ಗಣಪತಿ ಸ್ವಾಮಿ ದೇವಸ್ಥಾನ")</f>
        <v>ಶ್ರೀ ಸಾಕ್ಷಿ ಗಣಪತಿ ಸ್ವಾಮಿ ದೇವಸ್ಥಾನ</v>
      </c>
      <c r="J5" s="10" t="str">
        <f>IFERROR(__xludf.DUMMYFUNCTION("GOOGLETRANSLATE(B5,""en"",""ml"")"),"ശ്രീ സാക്ഷി ഗണപതി സ്വാമി ക്ഷേത്രം")</f>
        <v>ശ്രീ സാക്ഷി ഗണപതി സ്വാമി ക്ഷേത്രം</v>
      </c>
      <c r="K5" s="12" t="s">
        <v>38</v>
      </c>
      <c r="L5" s="10" t="str">
        <f>IFERROR(__xludf.DUMMYFUNCTION("GOOGLETRANSLATE(K5,""en"",""te"")"),"ఈ ఆలయం శ్రీశైలం యాత్రకు సాక్ష్యంగా నిలుస్తుందని నమ్మే గణేశుడికి అంకితం చేయబడింది. ప్రధాన దర్శనానికి ముందు లేదా తర్వాత భక్తులు సాంప్రదాయకంగా ఈ ఆలయాన్ని సందర్శిస్తారు. ఇది ఒక ముఖ్యమైన ఆచార విహారంగా పరిగణించబడుతుంది.")</f>
        <v>ఈ ఆలయం శ్రీశైలం యాత్రకు సాక్ష్యంగా నిలుస్తుందని నమ్మే గణేశుడికి అంకితం చేయబడింది. ప్రధాన దర్శనానికి ముందు లేదా తర్వాత భక్తులు సాంప్రదాయకంగా ఈ ఆలయాన్ని సందర్శిస్తారు. ఇది ఒక ముఖ్యమైన ఆచార విహారంగా పరిగణించబడుతుంది.</v>
      </c>
      <c r="M5" s="10" t="str">
        <f>IFERROR(__xludf.DUMMYFUNCTION("GOOGLETRANSLATE(K5,""en"",""hi"")"),"यह मंदिर भगवान गणेश को समर्पित है, जिनके बारे में माना जाता है कि वे श्रीशैलम की तीर्थयात्रा के साक्षी हैं। भक्त पारंपरिक रूप से मुख्य दर्शन से पहले या बाद में इस मंदिर में दर्शन करते हैं। इसे एक महत्वपूर्ण धार्मिक स्थल माना जाता है।")</f>
        <v>यह मंदिर भगवान गणेश को समर्पित है, जिनके बारे में माना जाता है कि वे श्रीशैलम की तीर्थयात्रा के साक्षी हैं। भक्त पारंपरिक रूप से मुख्य दर्शन से पहले या बाद में इस मंदिर में दर्शन करते हैं। इसे एक महत्वपूर्ण धार्मिक स्थल माना जाता है।</v>
      </c>
      <c r="N5" s="10" t="str">
        <f>IFERROR(__xludf.DUMMYFUNCTION("GOOGLETRANSLATE(K5,""en"",""ta"")"),"இந்தக் கோயில் ஸ்ரீசைலம் யாத்திரைக்கு சாட்சியாக இருப்பதாக நம்பப்படும் விநாயகர் கோயிலுக்கு அர்ப்பணிக்கப்பட்டுள்ளது. பக்தர்கள் பாரம்பரியமாக பிரதான தரிசனத்திற்கு முன்போ அல்லது பின்னரோ இந்தக் கோயிலுக்கு வருகிறார்கள். இது ஒரு முக்கியமான சடங்கு நிறுத்தமாகக் கருத"&amp;"ப்படுகிறது.")</f>
        <v>இந்தக் கோயில் ஸ்ரீசைலம் யாத்திரைக்கு சாட்சியாக இருப்பதாக நம்பப்படும் விநாயகர் கோயிலுக்கு அர்ப்பணிக்கப்பட்டுள்ளது. பக்தர்கள் பாரம்பரியமாக பிரதான தரிசனத்திற்கு முன்போ அல்லது பின்னரோ இந்தக் கோயிலுக்கு வருகிறார்கள். இது ஒரு முக்கியமான சடங்கு நிறுத்தமாகக் கருதப்படுகிறது.</v>
      </c>
      <c r="O5" s="10" t="str">
        <f>IFERROR(__xludf.DUMMYFUNCTION("GOOGLETRANSLATE(K5,""en"",""kn"")"),"ಈ ದೇವಾಲಯವು ಗಣೇಶನಿಗೆ ಸಮರ್ಪಿತವಾಗಿದ್ದು, ಶ್ರೀಶೈಲ ತೀರ್ಥಯಾತ್ರೆಗೆ ಸಾಕ್ಷಿಯಾಗುತ್ತಾನೆ ಎಂದು ನಂಬಲಾಗಿದೆ. ಭಕ್ತರು ಸಾಂಪ್ರದಾಯಿಕವಾಗಿ ಮುಖ್ಯ ದರ್ಶನದ ಮೊದಲು ಅಥವಾ ನಂತರ ಈ ದೇವಾಲಯಕ್ಕೆ ಭೇಟಿ ನೀಡುತ್ತಾರೆ. ಇದನ್ನು ಒಂದು ಪ್ರಮುಖ ಧಾರ್ಮಿಕ ನಿಲ್ದಾಣವೆಂದು ಪರಿಗಣಿಸಲಾಗಿದೆ.")</f>
        <v>ಈ ದೇವಾಲಯವು ಗಣೇಶನಿಗೆ ಸಮರ್ಪಿತವಾಗಿದ್ದು, ಶ್ರೀಶೈಲ ತೀರ್ಥಯಾತ್ರೆಗೆ ಸಾಕ್ಷಿಯಾಗುತ್ತಾನೆ ಎಂದು ನಂಬಲಾಗಿದೆ. ಭಕ್ತರು ಸಾಂಪ್ರದಾಯಿಕವಾಗಿ ಮುಖ್ಯ ದರ್ಶನದ ಮೊದಲು ಅಥವಾ ನಂತರ ಈ ದೇವಾಲಯಕ್ಕೆ ಭೇಟಿ ನೀಡುತ್ತಾರೆ. ಇದನ್ನು ಒಂದು ಪ್ರಮುಖ ಧಾರ್ಮಿಕ ನಿಲ್ದಾಣವೆಂದು ಪರಿಗಣಿಸಲಾಗಿದೆ.</v>
      </c>
      <c r="P5" s="10" t="str">
        <f>IFERROR(__xludf.DUMMYFUNCTION("GOOGLETRANSLATE(K5,""en"",""ml"")"),"ശ്രീശൈലത്തേക്കുള്ള തീർത്ഥാടനത്തിന് സാക്ഷ്യം വഹിക്കുന്നതായി വിശ്വസിക്കപ്പെടുന്ന ഗണപതിക്ക് സമർപ്പിച്ചിരിക്കുന്ന ക്ഷേത്രമാണിത്. പ്രധാന ദർശനത്തിന് മുമ്പോ ശേഷമോ ഭക്തർ പരമ്പരാഗതമായി ഈ ക്ഷേത്രം സന്ദർശിക്കാറുണ്ട്. ഇത് ഒരു പ്രധാന ആചാര കേന്ദ്രമായി കണക്കാക്കപ്പെടുന്"&amp;"നു.")</f>
        <v>ശ്രീശൈലത്തേക്കുള്ള തീർത്ഥാടനത്തിന് സാക്ഷ്യം വഹിക്കുന്നതായി വിശ്വസിക്കപ്പെടുന്ന ഗണപതിക്ക് സമർപ്പിച്ചിരിക്കുന്ന ക്ഷേത്രമാണിത്. പ്രധാന ദർശനത്തിന് മുമ്പോ ശേഷമോ ഭക്തർ പരമ്പരാഗതമായി ഈ ക്ഷേത്രം സന്ദർശിക്കാറുണ്ട്. ഇത് ഒരു പ്രധാന ആചാര കേന്ദ്രമായി കണക്കാക്കപ്പെടുന്നു.</v>
      </c>
    </row>
    <row r="6">
      <c r="A6" s="6">
        <f t="shared" si="1"/>
        <v>5</v>
      </c>
      <c r="B6" s="6" t="s">
        <v>39</v>
      </c>
      <c r="C6" s="17">
        <v>16.05366</v>
      </c>
      <c r="D6" s="6">
        <v>78.8885</v>
      </c>
      <c r="E6" s="5" t="s">
        <v>24</v>
      </c>
      <c r="F6" s="11" t="str">
        <f>IFERROR(__xludf.DUMMYFUNCTION("GOOGLETRANSLATE(B6,""en"",""te"")"),"హటకేశ్వరం ఆలయం")</f>
        <v>హటకేశ్వరం ఆలయం</v>
      </c>
      <c r="G6" s="10" t="str">
        <f>IFERROR(__xludf.DUMMYFUNCTION("GOOGLETRANSLATE(B6,""en"",""hi"")"),"हातकेश्वरम मंदिर")</f>
        <v>हातकेश्वरम मंदिर</v>
      </c>
      <c r="H6" s="10" t="str">
        <f>IFERROR(__xludf.DUMMYFUNCTION("GOOGLETRANSLATE(B6,""en"",""ta"")"),"ஹடகேஸ்வரம் கோயில்")</f>
        <v>ஹடகேஸ்வரம் கோயில்</v>
      </c>
      <c r="I6" s="10" t="str">
        <f>IFERROR(__xludf.DUMMYFUNCTION("GOOGLETRANSLATE(B6,""en"",""kn"")"),"ಹಟಕೇಶ್ವರಂ ದೇವಾಲಯ")</f>
        <v>ಹಟಕೇಶ್ವರಂ ದೇವಾಲಯ</v>
      </c>
      <c r="J6" s="10" t="str">
        <f>IFERROR(__xludf.DUMMYFUNCTION("GOOGLETRANSLATE(B6,""en"",""ml"")"),"ഹടകേശ്വരം ക്ഷേത്രം")</f>
        <v>ഹടകേശ്വരം ക്ഷേത്രം</v>
      </c>
      <c r="K6" s="12" t="s">
        <v>40</v>
      </c>
      <c r="L6" s="10" t="str">
        <f>IFERROR(__xludf.DUMMYFUNCTION("GOOGLETRANSLATE(K6,""en"",""te"")"),"హటకేశ్వరం ఆలయం శ్రీశైలంలోని ఒక పురాతన శివాలయం. ఈ ప్రాంత సాంప్రదాయ సూచనలలో దీని ప్రస్తావన ఉంది. భక్తులు ప్రశాంతమైన ఆరాధన కోసం సందర్శిస్తారు.")</f>
        <v>హటకేశ్వరం ఆలయం శ్రీశైలంలోని ఒక పురాతన శివాలయం. ఈ ప్రాంత సాంప్రదాయ సూచనలలో దీని ప్రస్తావన ఉంది. భక్తులు ప్రశాంతమైన ఆరాధన కోసం సందర్శిస్తారు.</v>
      </c>
      <c r="M6" s="10" t="str">
        <f>IFERROR(__xludf.DUMMYFUNCTION("GOOGLETRANSLATE(K6,""en"",""hi"")"),"हातकेश्वरम मंदिर श्रीशैलम में स्थित एक प्राचीन शिव मंदिर है। इस मंदिर का उल्लेख क्षेत्र के पारंपरिक ग्रंथों में मिलता है। श्रद्धालु शांतिपूर्वक पूजा-अर्चना के लिए यहां आते हैं।")</f>
        <v>हातकेश्वरम मंदिर श्रीशैलम में स्थित एक प्राचीन शिव मंदिर है। इस मंदिर का उल्लेख क्षेत्र के पारंपरिक ग्रंथों में मिलता है। श्रद्धालु शांतिपूर्वक पूजा-अर्चना के लिए यहां आते हैं।</v>
      </c>
      <c r="N6" s="10" t="str">
        <f>IFERROR(__xludf.DUMMYFUNCTION("GOOGLETRANSLATE(K6,""en"",""ta"")"),"ஸ்ரீசைலத்தில் உள்ள ஒரு பழமையான சிவன் கோயிலாக ஹடகேஸ்வரம் கோயில் உள்ளது. இது இப்பகுதியின் பாரம்பரிய குறிப்புகளில் குறிப்பிடப்பட்டுள்ளது. அமைதியான வழிபாட்டிற்காக பக்தர்கள் இங்கு வருகிறார்கள்.")</f>
        <v>ஸ்ரீசைலத்தில் உள்ள ஒரு பழமையான சிவன் கோயிலாக ஹடகேஸ்வரம் கோயில் உள்ளது. இது இப்பகுதியின் பாரம்பரிய குறிப்புகளில் குறிப்பிடப்பட்டுள்ளது. அமைதியான வழிபாட்டிற்காக பக்தர்கள் இங்கு வருகிறார்கள்.</v>
      </c>
      <c r="O6" s="10" t="str">
        <f>IFERROR(__xludf.DUMMYFUNCTION("GOOGLETRANSLATE(K6,""en"",""kn"")"),"ಹಟಕೇಶ್ವರಂ ದೇವಾಲಯವು ಶ್ರೀಶೈಲದಲ್ಲಿರುವ ಒಂದು ಪ್ರಾಚೀನ ಶಿವ ದೇವಾಲಯವಾಗಿದೆ. ಈ ಪ್ರದೇಶದ ಸಾಂಪ್ರದಾಯಿಕ ಉಲ್ಲೇಖಗಳಲ್ಲಿ ಇದರ ಉಲ್ಲೇಖವಿದೆ. ಭಕ್ತರು ಶಾಂತಿಯುತ ಪೂಜೆಗಾಗಿ ಭೇಟಿ ನೀಡುತ್ತಾರೆ.")</f>
        <v>ಹಟಕೇಶ್ವರಂ ದೇವಾಲಯವು ಶ್ರೀಶೈಲದಲ್ಲಿರುವ ಒಂದು ಪ್ರಾಚೀನ ಶಿವ ದೇವಾಲಯವಾಗಿದೆ. ಈ ಪ್ರದೇಶದ ಸಾಂಪ್ರದಾಯಿಕ ಉಲ್ಲೇಖಗಳಲ್ಲಿ ಇದರ ಉಲ್ಲೇಖವಿದೆ. ಭಕ್ತರು ಶಾಂತಿಯುತ ಪೂಜೆಗಾಗಿ ಭೇಟಿ ನೀಡುತ್ತಾರೆ.</v>
      </c>
      <c r="P6" s="10" t="str">
        <f>IFERROR(__xludf.DUMMYFUNCTION("GOOGLETRANSLATE(K6,""en"",""ml"")"),"ശ്രീശൈലത്തിലെ ഒരു പുരാതന ശിവക്ഷേത്രമാണ് ഹടകേശ്വരം ക്ഷേത്രം. പ്രദേശത്തെ പരമ്പരാഗത പരാമർശങ്ങളിൽ ഇതിനെക്കുറിച്ച് പരാമർശമുണ്ട്. സമാധാനപരമായ ആരാധനയ്ക്കായി ഭക്തർ ഇവിടെ എത്തുന്നു.")</f>
        <v>ശ്രീശൈലത്തിലെ ഒരു പുരാതന ശിവക്ഷേത്രമാണ് ഹടകേശ്വരം ക്ഷേത്രം. പ്രദേശത്തെ പരമ്പരാഗത പരാമർശങ്ങളിൽ ഇതിനെക്കുറിച്ച് പരാമർശമുണ്ട്. സമാധാനപരമായ ആരാധനയ്ക്കായി ഭക്തർ ഇവിടെ എത്തുന്നു.</v>
      </c>
    </row>
    <row r="7" ht="15.0" customHeight="1">
      <c r="A7" s="6">
        <f t="shared" si="1"/>
        <v>6</v>
      </c>
      <c r="B7" s="13" t="s">
        <v>41</v>
      </c>
      <c r="C7" s="18">
        <v>16.07386</v>
      </c>
      <c r="D7" s="15">
        <v>78.86734</v>
      </c>
      <c r="E7" s="13" t="s">
        <v>24</v>
      </c>
      <c r="F7" s="13" t="s">
        <v>42</v>
      </c>
      <c r="G7" s="13" t="s">
        <v>43</v>
      </c>
      <c r="H7" s="13" t="s">
        <v>44</v>
      </c>
      <c r="I7" s="13" t="s">
        <v>45</v>
      </c>
      <c r="J7" s="19" t="s">
        <v>46</v>
      </c>
      <c r="K7" s="16" t="s">
        <v>47</v>
      </c>
      <c r="L7" s="10" t="str">
        <f>IFERROR(__xludf.DUMMYFUNCTION("GOOGLETRANSLATE(K7,""en"",""te"")"),"కుమార విహారం శ్రీశైలం ఆలయ ప్రాంతంలో ఉన్న ఒక పవిత్ర నిర్మాణం. ఇది శివుని కుమారుడైన కుమార (సుబ్రహ్మణ్య) ఆరాధనతో ముడిపడి ఉంది.
శ్రీశైలంలో వారి ఆధ్యాత్మిక ప్రయాణంలో భాగంగా భక్తులు ఈ ప్రదేశాన్ని సందర్శిస్తారు.")</f>
        <v>కుమార విహారం శ్రీశైలం ఆలయ ప్రాంతంలో ఉన్న ఒక పవిత్ర నిర్మాణం. ఇది శివుని కుమారుడైన కుమార (సుబ్రహ్మణ్య) ఆరాధనతో ముడిపడి ఉంది.
శ్రీశైలంలో వారి ఆధ్యాత్మిక ప్రయాణంలో భాగంగా భక్తులు ఈ ప్రదేశాన్ని సందర్శిస్తారు.</v>
      </c>
      <c r="M7" s="10" t="str">
        <f>IFERROR(__xludf.DUMMYFUNCTION("GOOGLETRANSLATE(K7,""en"",""hi"")"),"कुमार विहारम श्रीशैलम मंदिर क्षेत्र में स्थित एक पवित्र संरचना है। यह भगवान शिव के पुत्र भगवान कुमार (सुब्रह्मण्य) की पूजा से जुड़ा हुआ है।
श्रीशैलम में आध्यात्मिक यात्रा के दौरान श्रद्धालु इस स्थान पर दर्शन करने आते हैं।")</f>
        <v>कुमार विहारम श्रीशैलम मंदिर क्षेत्र में स्थित एक पवित्र संरचना है। यह भगवान शिव के पुत्र भगवान कुमार (सुब्रह्मण्य) की पूजा से जुड़ा हुआ है।
श्रीशैलम में आध्यात्मिक यात्रा के दौरान श्रद्धालु इस स्थान पर दर्शन करने आते हैं।</v>
      </c>
      <c r="N7" s="10" t="str">
        <f>IFERROR(__xludf.DUMMYFUNCTION("GOOGLETRANSLATE(K7,""en"",""ta"")"),"குமார விகாரம் என்பது ஸ்ரீசைலம் கோயில் பகுதியில் அமைந்துள்ள ஒரு புனிதமான அமைப்பாகும். இது சிவபெருமானின் மகனான குமார (சுப்பிரமணியர்) வழிபாட்டுடன் தொடர்புடையது.
ஸ்ரீசைலத்தில் தங்கள் ஆன்மீக பயணத்தின் ஒரு பகுதியாக பக்தர்கள் இந்த இடத்திற்கு வருகை தருகின்றனர்.")</f>
        <v>குமார விகாரம் என்பது ஸ்ரீசைலம் கோயில் பகுதியில் அமைந்துள்ள ஒரு புனிதமான அமைப்பாகும். இது சிவபெருமானின் மகனான குமார (சுப்பிரமணியர்) வழிபாட்டுடன் தொடர்புடையது.
ஸ்ரீசைலத்தில் தங்கள் ஆன்மீக பயணத்தின் ஒரு பகுதியாக பக்தர்கள் இந்த இடத்திற்கு வருகை தருகின்றனர்.</v>
      </c>
      <c r="O7" s="8" t="str">
        <f>IFERROR(__xludf.DUMMYFUNCTION("GOOGLETRANSLATE(K7,""en"",""kn"")"),"ಕುಮಾರ ವಿಹಾರವು ಶ್ರೀಶೈಲ ದೇವಾಲಯ ಪ್ರದೇಶದಲ್ಲಿ ನೆಲೆಗೊಂಡಿರುವ ಒಂದು ಪವಿತ್ರ ರಚನೆಯಾಗಿದೆ. ಇದು ಶಿವನ ಮಗನಾದ ಕುಮಾರ (ಸುಬ್ರಹ್ಮಣ್ಯ) ನ ಆರಾಧನೆಯೊಂದಿಗೆ ಸಂಬಂಧ ಹೊಂದಿದೆ.
ಶ್ರೀಶೈಲದಲ್ಲಿ ತಮ್ಮ ಆಧ್ಯಾತ್ಮಿಕ ಪ್ರಯಾಣದ ಭಾಗವಾಗಿ ಭಕ್ತರು ಈ ಸ್ಥಳಕ್ಕೆ ಭೇಟಿ ನೀಡುತ್ತಾರೆ.")</f>
        <v>ಕುಮಾರ ವಿಹಾರವು ಶ್ರೀಶೈಲ ದೇವಾಲಯ ಪ್ರದೇಶದಲ್ಲಿ ನೆಲೆಗೊಂಡಿರುವ ಒಂದು ಪವಿತ್ರ ರಚನೆಯಾಗಿದೆ. ಇದು ಶಿವನ ಮಗನಾದ ಕುಮಾರ (ಸುಬ್ರಹ್ಮಣ್ಯ) ನ ಆರಾಧನೆಯೊಂದಿಗೆ ಸಂಬಂಧ ಹೊಂದಿದೆ.
ಶ್ರೀಶೈಲದಲ್ಲಿ ತಮ್ಮ ಆಧ್ಯಾತ್ಮಿಕ ಪ್ರಯಾಣದ ಭಾಗವಾಗಿ ಭಕ್ತರು ಈ ಸ್ಥಳಕ್ಕೆ ಭೇಟಿ ನೀಡುತ್ತಾರೆ.</v>
      </c>
      <c r="P7" s="10" t="str">
        <f>IFERROR(__xludf.DUMMYFUNCTION("GOOGLETRANSLATE(K7,""en"",""ml"")"),"ശ്രീശൈലം ക്ഷേത്ര മേഖലയിൽ സ്ഥിതി ചെയ്യുന്ന ഒരു പുണ്യ ഘടനയാണ് കുമാര വിഹാരം. ശിവന്റെ മകനായ കുമാര (സുബ്രഹ്മണ്യൻ) ആരാധനയുമായി ഇത് ബന്ധപ്പെട്ടിരിക്കുന്നു.
ശ്രീശൈലത്തിലേക്കുള്ള ആത്മീയ യാത്രയുടെ ഭാഗമായി ഭക്തർ ഈ സ്ഥലം സന്ദർശിക്കാറുണ്ട്.")</f>
        <v>ശ്രീശൈലം ക്ഷേത്ര മേഖലയിൽ സ്ഥിതി ചെയ്യുന്ന ഒരു പുണ്യ ഘടനയാണ് കുമാര വിഹാരം. ശിവന്റെ മകനായ കുമാര (സുബ്രഹ്മണ്യൻ) ആരാധനയുമായി ഇത് ബന്ധപ്പെട്ടിരിക്കുന്നു.
ശ്രീശൈലത്തിലേക്കുള്ള ആത്മീയ യാത്രയുടെ ഭാഗമായി ഭക്തർ ഈ സ്ഥലം സന്ദർശിക്കാറുണ്ട്.</v>
      </c>
    </row>
    <row r="8" ht="15.75" customHeight="1">
      <c r="A8" s="6">
        <f t="shared" si="1"/>
        <v>7</v>
      </c>
      <c r="B8" s="13" t="s">
        <v>48</v>
      </c>
      <c r="C8" s="14">
        <v>16.07371</v>
      </c>
      <c r="D8" s="14">
        <v>78.868</v>
      </c>
      <c r="E8" s="13" t="s">
        <v>24</v>
      </c>
      <c r="F8" s="13" t="s">
        <v>49</v>
      </c>
      <c r="G8" s="13" t="s">
        <v>50</v>
      </c>
      <c r="H8" s="13" t="s">
        <v>51</v>
      </c>
      <c r="I8" s="13" t="s">
        <v>52</v>
      </c>
      <c r="J8" s="13" t="s">
        <v>53</v>
      </c>
      <c r="K8" s="16" t="s">
        <v>54</v>
      </c>
      <c r="L8" s="10" t="str">
        <f>IFERROR(__xludf.DUMMYFUNCTION("GOOGLETRANSLATE(K8,""en"",""te"")"),"సప్త మాతృకలు శ్రీశైల ప్రాంతంలో పూజించబడే ఏడుగురు మాతృ దేవతలను సూచిస్తాయి.
ప్రతి దేవత దైవిక స్త్రీ శక్తి మరియు రక్షణను సూచిస్తుంది.
ఈ మందిరం మతపరమైన ప్రాముఖ్యతను కలిగి ఉంది మరియు ఆశీర్వాదం కోరుకునే భక్తులు దీనిని సందర్శిస్తారు.")</f>
        <v>సప్త మాతృకలు శ్రీశైల ప్రాంతంలో పూజించబడే ఏడుగురు మాతృ దేవతలను సూచిస్తాయి.
ప్రతి దేవత దైవిక స్త్రీ శక్తి మరియు రక్షణను సూచిస్తుంది.
ఈ మందిరం మతపరమైన ప్రాముఖ్యతను కలిగి ఉంది మరియు ఆశీర్వాదం కోరుకునే భక్తులు దీనిని సందర్శిస్తారు.</v>
      </c>
      <c r="M8" s="10" t="str">
        <f>IFERROR(__xludf.DUMMYFUNCTION("GOOGLETRANSLATE(K8,""en"",""hi"")"),"सप्त मातृकालु श्रीशैलम क्षेत्र में पूजी जाने वाली सात मातृ देवियों का प्रतिनिधित्व करता है।
प्रत्येक देवी दिव्य स्त्री शक्ति और संरक्षण का प्रतीक है।
यह तीर्थस्थल धार्मिक दृष्टि से महत्वपूर्ण है और आशीर्वाद प्राप्त करने के लिए श्रद्धालु यहाँ दर्शन करने आत"&amp;"े हैं।")</f>
        <v>सप्त मातृकालु श्रीशैलम क्षेत्र में पूजी जाने वाली सात मातृ देवियों का प्रतिनिधित्व करता है।
प्रत्येक देवी दिव्य स्त्री शक्ति और संरक्षण का प्रतीक है।
यह तीर्थस्थल धार्मिक दृष्टि से महत्वपूर्ण है और आशीर्वाद प्राप्त करने के लिए श्रद्धालु यहाँ दर्शन करने आते हैं।</v>
      </c>
      <c r="N8" s="10" t="str">
        <f>IFERROR(__xludf.DUMMYFUNCTION("GOOGLETRANSLATE(K8,""en"",""ta"")"),"ஸ்ரீசைலம் பகுதியில் வழிபடும் ஏழு தாய் தெய்வங்களை சப்த மாத்ருக்கள் பிரதிநிதித்துவப்படுத்துகிறார்கள்.
ஒவ்வொரு தெய்வமும் தெய்வீக பெண்மை சக்தி மற்றும் பாதுகாப்பைக் குறிக்கிறது.
இந்த ஆலயம் மத முக்கியத்துவம் வாய்ந்தது மற்றும் ஆசீர்வாதங்களை நாடும் பக்தர்களால் "&amp;"வருகை தரப்படுகிறது.")</f>
        <v>ஸ்ரீசைலம் பகுதியில் வழிபடும் ஏழு தாய் தெய்வங்களை சப்த மாத்ருக்கள் பிரதிநிதித்துவப்படுத்துகிறார்கள்.
ஒவ்வொரு தெய்வமும் தெய்வீக பெண்மை சக்தி மற்றும் பாதுகாப்பைக் குறிக்கிறது.
இந்த ஆலயம் மத முக்கியத்துவம் வாய்ந்தது மற்றும் ஆசீர்வாதங்களை நாடும் பக்தர்களால் வருகை தரப்படுகிறது.</v>
      </c>
      <c r="O8" s="8" t="str">
        <f>IFERROR(__xludf.DUMMYFUNCTION("GOOGLETRANSLATE(K8,""en"",""kn"")"),"ಸಪ್ತ ಮಾತೃಕಲು ಶ್ರೀಶೈಲ ಪ್ರದೇಶದಲ್ಲಿ ಪೂಜಿಸಲ್ಪಡುವ ಏಳು ಮಾತೃ ದೇವತೆಗಳನ್ನು ಪ್ರತಿನಿಧಿಸುತ್ತದೆ.
ಪ್ರತಿಯೊಬ್ಬ ದೇವತೆಯೂ ದೈವಿಕ ಸ್ತ್ರೀ ಶಕ್ತಿ ಮತ್ತು ರಕ್ಷಣೆಯನ್ನು ಸಂಕೇತಿಸುತ್ತದೆ.
ಈ ದೇವಾಲಯವು ಧಾರ್ಮಿಕ ಪ್ರಾಮುಖ್ಯತೆಯನ್ನು ಹೊಂದಿದೆ ಮತ್ತು ಆಶೀರ್ವಾದ ಪಡೆಯಲು ಭಕ್ತರು ಭೇಟಿ ನೀಡುತ್ತಾರೆ.")</f>
        <v>ಸಪ್ತ ಮಾತೃಕಲು ಶ್ರೀಶೈಲ ಪ್ರದೇಶದಲ್ಲಿ ಪೂಜಿಸಲ್ಪಡುವ ಏಳು ಮಾತೃ ದೇವತೆಗಳನ್ನು ಪ್ರತಿನಿಧಿಸುತ್ತದೆ.
ಪ್ರತಿಯೊಬ್ಬ ದೇವತೆಯೂ ದೈವಿಕ ಸ್ತ್ರೀ ಶಕ್ತಿ ಮತ್ತು ರಕ್ಷಣೆಯನ್ನು ಸಂಕೇತಿಸುತ್ತದೆ.
ಈ ದೇವಾಲಯವು ಧಾರ್ಮಿಕ ಪ್ರಾಮುಖ್ಯತೆಯನ್ನು ಹೊಂದಿದೆ ಮತ್ತು ಆಶೀರ್ವಾದ ಪಡೆಯಲು ಭಕ್ತರು ಭೇಟಿ ನೀಡುತ್ತಾರೆ.</v>
      </c>
      <c r="P8" s="10" t="str">
        <f>IFERROR(__xludf.DUMMYFUNCTION("GOOGLETRANSLATE(K8,""en"",""ml"")"),"ശ്രീശൈലം മേഖലയിൽ ആരാധിക്കപ്പെടുന്ന ഏഴ് മാതൃദേവതകളെയാണ് സപ്ത മാതൃകലു പ്രതിനിധീകരിക്കുന്നത്.
ഓരോ ദേവതയും ദിവ്യമായ സ്ത്രീശക്തിയെയും സംരക്ഷണത്തെയും പ്രതീകപ്പെടുത്തുന്നു.
മതപരമായ പ്രാധാന്യമുള്ള ഈ ക്ഷേത്രം അനുഗ്രഹം തേടി ഭക്തർ സന്ദർശിക്കുന്നു.")</f>
        <v>ശ്രീശൈലം മേഖലയിൽ ആരാധിക്കപ്പെടുന്ന ഏഴ് മാതൃദേവതകളെയാണ് സപ്ത മാതൃകലു പ്രതിനിധീകരിക്കുന്നത്.
ഓരോ ദേവതയും ദിവ്യമായ സ്ത്രീശക്തിയെയും സംരക്ഷണത്തെയും പ്രതീകപ്പെടുത്തുന്നു.
മതപരമായ പ്രാധാന്യമുള്ള ഈ ക്ഷേത്രം അനുഗ്രഹം തേടി ഭക്തർ സന്ദർശിക്കുന്നു.</v>
      </c>
    </row>
    <row r="9" ht="14.25" customHeight="1">
      <c r="A9" s="6">
        <f t="shared" si="1"/>
        <v>8</v>
      </c>
      <c r="B9" s="13" t="s">
        <v>55</v>
      </c>
      <c r="C9" s="14">
        <v>16.07351</v>
      </c>
      <c r="D9" s="14">
        <v>78.86806</v>
      </c>
      <c r="E9" s="13" t="s">
        <v>24</v>
      </c>
      <c r="F9" s="13" t="s">
        <v>56</v>
      </c>
      <c r="G9" s="13" t="s">
        <v>57</v>
      </c>
      <c r="H9" s="13" t="s">
        <v>58</v>
      </c>
      <c r="I9" s="13" t="s">
        <v>59</v>
      </c>
      <c r="J9" s="13" t="s">
        <v>60</v>
      </c>
      <c r="K9" s="16" t="s">
        <v>61</v>
      </c>
      <c r="L9" s="10" t="str">
        <f>IFERROR(__xludf.DUMMYFUNCTION("GOOGLETRANSLATE(K9,""en"",""te"")"),"శ్రీశైల జగద్గురు పండితారాధ్య పీఠం శ్రీశైలంలోని ప్రముఖ శైవ మత సంస్థ.
ఇది ఆధ్యాత్మిక బోధనలు, సంప్రదాయాలు మరియు మతపరమైన కార్యకలాపాలతో ముడిపడి ఉంది.
ఈ ప్రాంతంలో శైవ తత్వాన్ని పరిరక్షించడంలో పీఠం ప్రముఖ పాత్ర పోషిస్తోంది.")</f>
        <v>శ్రీశైల జగద్గురు పండితారాధ్య పీఠం శ్రీశైలంలోని ప్రముఖ శైవ మత సంస్థ.
ఇది ఆధ్యాత్మిక బోధనలు, సంప్రదాయాలు మరియు మతపరమైన కార్యకలాపాలతో ముడిపడి ఉంది.
ఈ ప్రాంతంలో శైవ తత్వాన్ని పరిరక్షించడంలో పీఠం ప్రముఖ పాత్ర పోషిస్తోంది.</v>
      </c>
      <c r="M9" s="10" t="str">
        <f>IFERROR(__xludf.DUMMYFUNCTION("GOOGLETRANSLATE(K9,""en"",""hi"")"),"श्रीशैल जगद्गुरु पंडितराध्य पीठम श्रीशैलम में एक प्रमुख शैव धार्मिक संस्थान है।
यह आध्यात्मिक शिक्षाओं, परंपराओं और धार्मिक गतिविधियों से जुड़ा है।
पीठम क्षेत्र में शैव दर्शन को संरक्षित करने में महत्वपूर्ण भूमिका निभाता है।")</f>
        <v>श्रीशैल जगद्गुरु पंडितराध्य पीठम श्रीशैलम में एक प्रमुख शैव धार्मिक संस्थान है।
यह आध्यात्मिक शिक्षाओं, परंपराओं और धार्मिक गतिविधियों से जुड़ा है।
पीठम क्षेत्र में शैव दर्शन को संरक्षित करने में महत्वपूर्ण भूमिका निभाता है।</v>
      </c>
      <c r="N9" s="10" t="str">
        <f>IFERROR(__xludf.DUMMYFUNCTION("GOOGLETRANSLATE(K9,""en"",""ta"")"),"ஸ்ரீசைல ஜகத்குரு பண்டிதாராத்யா பீடம் ஸ்ரீசைலத்தில் உள்ள ஒரு முக்கிய சைவ மத நிறுவனம்.
இது ஆன்மீக போதனைகள், மரபுகள் மற்றும் மத நடவடிக்கைகளுடன் தொடர்புடையது.
இப்பகுதியில் சைவ தத்துவத்தைப் பாதுகாப்பதில் பீடம் குறிப்பிடத்தக்க பங்கு வகிக்கிறது.")</f>
        <v>ஸ்ரீசைல ஜகத்குரு பண்டிதாராத்யா பீடம் ஸ்ரீசைலத்தில் உள்ள ஒரு முக்கிய சைவ மத நிறுவனம்.
இது ஆன்மீக போதனைகள், மரபுகள் மற்றும் மத நடவடிக்கைகளுடன் தொடர்புடையது.
இப்பகுதியில் சைவ தத்துவத்தைப் பாதுகாப்பதில் பீடம் குறிப்பிடத்தக்க பங்கு வகிக்கிறது.</v>
      </c>
      <c r="O9" s="8" t="str">
        <f>IFERROR(__xludf.DUMMYFUNCTION("GOOGLETRANSLATE(K9,""en"",""kn"")"),"ಶ್ರೀಶೈಲ ಜಗದ್ಗುರು ಪಂಡಿತಾರಾಧ್ಯ ಪೀಠವು ಶ್ರೀಶೈಲದ ಪ್ರಮುಖ ಶೈವ ಧಾರ್ಮಿಕ ಸಂಸ್ಥೆಯಾಗಿದೆ.
ಇದು ಆಧ್ಯಾತ್ಮಿಕ ಬೋಧನೆಗಳು, ಸಂಪ್ರದಾಯಗಳು ಮತ್ತು ಧಾರ್ಮಿಕ ಚಟುವಟಿಕೆಗಳೊಂದಿಗೆ ಸಂಬಂಧಿಸಿದೆ.
ಈ ಪ್ರದೇಶದಲ್ಲಿ ಶೈವ ತತ್ತ್ವಶಾಸ್ತ್ರವನ್ನು ಸಂರಕ್ಷಿಸುವಲ್ಲಿ ಪೀಠವು ಮಹತ್ವದ ಪಾತ್ರವನ್ನು ವಹಿಸುತ್ತದೆ.")</f>
        <v>ಶ್ರೀಶೈಲ ಜಗದ್ಗುರು ಪಂಡಿತಾರಾಧ್ಯ ಪೀಠವು ಶ್ರೀಶೈಲದ ಪ್ರಮುಖ ಶೈವ ಧಾರ್ಮಿಕ ಸಂಸ್ಥೆಯಾಗಿದೆ.
ಇದು ಆಧ್ಯಾತ್ಮಿಕ ಬೋಧನೆಗಳು, ಸಂಪ್ರದಾಯಗಳು ಮತ್ತು ಧಾರ್ಮಿಕ ಚಟುವಟಿಕೆಗಳೊಂದಿಗೆ ಸಂಬಂಧಿಸಿದೆ.
ಈ ಪ್ರದೇಶದಲ್ಲಿ ಶೈವ ತತ್ತ್ವಶಾಸ್ತ್ರವನ್ನು ಸಂರಕ್ಷಿಸುವಲ್ಲಿ ಪೀಠವು ಮಹತ್ವದ ಪಾತ್ರವನ್ನು ವಹಿಸುತ್ತದೆ.</v>
      </c>
      <c r="P9" s="10" t="str">
        <f>IFERROR(__xludf.DUMMYFUNCTION("GOOGLETRANSLATE(K9,""en"",""ml"")"),"ശ്രീശൈലത്തിലെ ഒരു പ്രമുഖ ശൈവ മതസ്ഥാപനമാണ് ശ്രീശൈല ജഗദ്ഗുരു പണ്ഡിതാരാധ്യപീഠം.
അത് ആത്മീയ പഠിപ്പിക്കലുകൾ, പാരമ്പര്യങ്ങൾ, മതപരമായ പ്രവർത്തനങ്ങൾ എന്നിവയുമായി ബന്ധപ്പെട്ടിരിക്കുന്നു.
ഈ പ്രദേശത്തെ ശൈവ ദർശനങ്ങളെ സംരക്ഷിക്കുന്നതിൽ പീഠത്തിന് വലിയ പങ്കുണ്ട്.")</f>
        <v>ശ്രീശൈലത്തിലെ ഒരു പ്രമുഖ ശൈവ മതസ്ഥാപനമാണ് ശ്രീശൈല ജഗദ്ഗുരു പണ്ഡിതാരാധ്യപീഠം.
അത് ആത്മീയ പഠിപ്പിക്കലുകൾ, പാരമ്പര്യങ്ങൾ, മതപരമായ പ്രവർത്തനങ്ങൾ എന്നിവയുമായി ബന്ധപ്പെട്ടിരിക്കുന്നു.
ഈ പ്രദേശത്തെ ശൈവ ദർശനങ്ങളെ സംരക്ഷിക്കുന്നതിൽ പീഠത്തിന് വലിയ പങ്കുണ്ട്.</v>
      </c>
    </row>
    <row r="10" ht="15.0" customHeight="1">
      <c r="A10" s="6">
        <f t="shared" si="1"/>
        <v>9</v>
      </c>
      <c r="B10" s="13" t="s">
        <v>62</v>
      </c>
      <c r="C10" s="14">
        <v>16.07397</v>
      </c>
      <c r="D10" s="14">
        <v>78.86849</v>
      </c>
      <c r="E10" s="13" t="s">
        <v>24</v>
      </c>
      <c r="F10" s="13" t="s">
        <v>63</v>
      </c>
      <c r="G10" s="13" t="s">
        <v>64</v>
      </c>
      <c r="H10" s="13" t="s">
        <v>65</v>
      </c>
      <c r="I10" s="13" t="s">
        <v>66</v>
      </c>
      <c r="J10" s="13" t="s">
        <v>67</v>
      </c>
      <c r="K10" s="16" t="s">
        <v>68</v>
      </c>
      <c r="L10" s="10" t="str">
        <f>IFERROR(__xludf.DUMMYFUNCTION("GOOGLETRANSLATE(K10,""en"",""te"")"),"శ్రీశైలంలో ఉన్న మహా నంది శివుని దివ్య వాహనమైన నందికి పవిత్రమైన ప్రతిరూపం.
ఇది సాంప్రదాయకంగా నంద్యాల ప్రాంతంతో ముడిపడి ఉంది మరియు పూజ కోసం ఇక్కడకు తీసుకువస్తారు.
మల్లికార్జున స్వామి ఆలయ సందర్శనలో భాగంగా భక్తులు నందికి ప్రార్థనలు చేస్తారు.")</f>
        <v>శ్రీశైలంలో ఉన్న మహా నంది శివుని దివ్య వాహనమైన నందికి పవిత్రమైన ప్రతిరూపం.
ఇది సాంప్రదాయకంగా నంద్యాల ప్రాంతంతో ముడిపడి ఉంది మరియు పూజ కోసం ఇక్కడకు తీసుకువస్తారు.
మల్లికార్జున స్వామి ఆలయ సందర్శనలో భాగంగా భక్తులు నందికి ప్రార్థనలు చేస్తారు.</v>
      </c>
      <c r="M10" s="10" t="str">
        <f>IFERROR(__xludf.DUMMYFUNCTION("GOOGLETRANSLATE(K10,""en"",""hi"")"),"श्रीशैलम में स्थित महा नंदी, भगवान शिव के दिव्य वाहन नंदी की एक पवित्र प्रतिमा है।
यह पारंपरिक रूप से नंदीयाल क्षेत्र से संबंधित है और इसे पूजा के लिए यहां लाया जाता है।
भक्त मल्लिकार्जुन स्वामी मंदिर की यात्रा के दौरान नंदी की पूजा करते हैं।")</f>
        <v>श्रीशैलम में स्थित महा नंदी, भगवान शिव के दिव्य वाहन नंदी की एक पवित्र प्रतिमा है।
यह पारंपरिक रूप से नंदीयाल क्षेत्र से संबंधित है और इसे पूजा के लिए यहां लाया जाता है।
भक्त मल्लिकार्जुन स्वामी मंदिर की यात्रा के दौरान नंदी की पूजा करते हैं।</v>
      </c>
      <c r="N10" s="10" t="str">
        <f>IFERROR(__xludf.DUMMYFUNCTION("GOOGLETRANSLATE(K10,""en"",""ta"")"),"ஸ்ரீசைலத்தில் அமைந்துள்ள சிவபெருமானின் தெய்வீக வாகனமான நந்தியின் புனித உருவகமாக மகா நந்தி உள்ளது.
இது பாரம்பரியமாக நந்தியால் பகுதியுடன் தொடர்புடையது மற்றும் வழிபாட்டிற்காக இங்கு கொண்டு வரப்படுகிறது.
மல்லிகார்ஜுன சுவாமி கோயிலுக்கு வருகை தரும் பக்தர்கள் ந"&amp;"ந்திக்கு பிரார்த்தனை செய்கிறார்கள்.")</f>
        <v>ஸ்ரீசைலத்தில் அமைந்துள்ள சிவபெருமானின் தெய்வீக வாகனமான நந்தியின் புனித உருவகமாக மகா நந்தி உள்ளது.
இது பாரம்பரியமாக நந்தியால் பகுதியுடன் தொடர்புடையது மற்றும் வழிபாட்டிற்காக இங்கு கொண்டு வரப்படுகிறது.
மல்லிகார்ஜுன சுவாமி கோயிலுக்கு வருகை தரும் பக்தர்கள் நந்திக்கு பிரார்த்தனை செய்கிறார்கள்.</v>
      </c>
      <c r="O10" s="8" t="str">
        <f>IFERROR(__xludf.DUMMYFUNCTION("GOOGLETRANSLATE(K10,""en"",""kn"")"),"ಮಹಾ ನಂದಿಯು ಶ್ರೀಶೈಲಂನಲ್ಲಿರುವ ಶಿವನ ದೈವಿಕ ವಾಹನವಾದ ನಂದಿಯ ಪವಿತ್ರ ಪ್ರತಿರೂಪವಾಗಿದೆ.
ಇದು ಸಾಂಪ್ರದಾಯಿಕವಾಗಿ ನಂದ್ಯಾಲ್ ಪ್ರದೇಶದೊಂದಿಗೆ ಸಂಬಂಧ ಹೊಂದಿದೆ ಮತ್ತು ಪೂಜೆಗಾಗಿ ಇಲ್ಲಿಗೆ ತರಲಾಗುತ್ತದೆ.
ಮಲ್ಲಿಕಾರ್ಜುನ ಸ್ವಾಮಿ ದೇವಸ್ಥಾನಕ್ಕೆ ಭೇಟಿ ನೀಡುವ ಭಾಗವಾಗಿ ಭಕ್ತರು ನಂದಿಗೆ ಪ್ರಾರ್ಥನೆ ಸಲ್ಲಿಸುತ"&amp;"್ತಾರೆ.")</f>
        <v>ಮಹಾ ನಂದಿಯು ಶ್ರೀಶೈಲಂನಲ್ಲಿರುವ ಶಿವನ ದೈವಿಕ ವಾಹನವಾದ ನಂದಿಯ ಪವಿತ್ರ ಪ್ರತಿರೂಪವಾಗಿದೆ.
ಇದು ಸಾಂಪ್ರದಾಯಿಕವಾಗಿ ನಂದ್ಯಾಲ್ ಪ್ರದೇಶದೊಂದಿಗೆ ಸಂಬಂಧ ಹೊಂದಿದೆ ಮತ್ತು ಪೂಜೆಗಾಗಿ ಇಲ್ಲಿಗೆ ತರಲಾಗುತ್ತದೆ.
ಮಲ್ಲಿಕಾರ್ಜುನ ಸ್ವಾಮಿ ದೇವಸ್ಥಾನಕ್ಕೆ ಭೇಟಿ ನೀಡುವ ಭಾಗವಾಗಿ ಭಕ್ತರು ನಂದಿಗೆ ಪ್ರಾರ್ಥನೆ ಸಲ್ಲಿಸುತ್ತಾರೆ.</v>
      </c>
      <c r="P10" s="10" t="str">
        <f>IFERROR(__xludf.DUMMYFUNCTION("GOOGLETRANSLATE(K10,""en"",""ml"")"),"ശ്രീശൈലത്ത് സ്ഥിതി ചെയ്യുന്ന ശിവന്റെ ദിവ്യവാഹനമായ നന്ദിയുടെ പവിത്രമായ പ്രതിനിധാനമാണ് മഹാ നന്ദി.
പരമ്പരാഗതമായി നന്ദ്യാൽ മേഖലയുമായി ഇത് ബന്ധപ്പെട്ടിരിക്കുന്നു, ആരാധനയ്ക്കായി ഇവിടെ കൊണ്ടുവരുന്നു.
മല്ലികാർജ്ജുന സ്വാമി ക്ഷേത്ര സന്ദർശനത്തിന്റെ ഭാഗമായി ഭക്തർ ന"&amp;"ന്ദിക്ക് പ്രാർത്ഥനകൾ അർപ്പിക്കുന്നു.")</f>
        <v>ശ്രീശൈലത്ത് സ്ഥിതി ചെയ്യുന്ന ശിവന്റെ ദിവ്യവാഹനമായ നന്ദിയുടെ പവിത്രമായ പ്രതിനിധാനമാണ് മഹാ നന്ദി.
പരമ്പരാഗതമായി നന്ദ്യാൽ മേഖലയുമായി ഇത് ബന്ധപ്പെട്ടിരിക്കുന്നു, ആരാധനയ്ക്കായി ഇവിടെ കൊണ്ടുവരുന്നു.
മല്ലികാർജ്ജുന സ്വാമി ക്ഷേത്ര സന്ദർശനത്തിന്റെ ഭാഗമായി ഭക്തർ നന്ദിക്ക് പ്രാർത്ഥനകൾ അർപ്പിക്കുന്നു.</v>
      </c>
    </row>
    <row r="11" ht="16.5" customHeight="1">
      <c r="A11" s="6">
        <f t="shared" si="1"/>
        <v>10</v>
      </c>
      <c r="B11" s="13" t="s">
        <v>69</v>
      </c>
      <c r="C11" s="14">
        <v>16.07447</v>
      </c>
      <c r="D11" s="14">
        <v>78.86847</v>
      </c>
      <c r="E11" s="13" t="s">
        <v>24</v>
      </c>
      <c r="F11" s="13" t="s">
        <v>70</v>
      </c>
      <c r="G11" s="13" t="s">
        <v>71</v>
      </c>
      <c r="H11" s="13" t="s">
        <v>72</v>
      </c>
      <c r="I11" s="13" t="s">
        <v>73</v>
      </c>
      <c r="J11" s="13" t="s">
        <v>74</v>
      </c>
      <c r="K11" s="13" t="s">
        <v>75</v>
      </c>
      <c r="L11" s="10" t="str">
        <f>IFERROR(__xludf.DUMMYFUNCTION("GOOGLETRANSLATE(K11,""en"",""te"")"),"జమ్మి చెట్టు అనేది శ్రీశైలం ఆలయ పరిసరాల్లో ఉన్న ఒక పవిత్ర వృక్షం.
ఇది పౌరాణిక సంప్రదాయాలు మరియు విజయదశమి ఆచారాలతో దగ్గరి సంబంధం కలిగి ఉంది.
భక్తులు ఈ చెట్టును అత్యంత పవిత్రమైనదిగా మరియు ఆధ్యాత్మికంగా ముఖ్యమైనదిగా భావిస్తారు.")</f>
        <v>జమ్మి చెట్టు అనేది శ్రీశైలం ఆలయ పరిసరాల్లో ఉన్న ఒక పవిత్ర వృక్షం.
ఇది పౌరాణిక సంప్రదాయాలు మరియు విజయదశమి ఆచారాలతో దగ్గరి సంబంధం కలిగి ఉంది.
భక్తులు ఈ చెట్టును అత్యంత పవిత్రమైనదిగా మరియు ఆధ్యాత్మికంగా ముఖ్యమైనదిగా భావిస్తారు.</v>
      </c>
      <c r="M11" s="10" t="str">
        <f>IFERROR(__xludf.DUMMYFUNCTION("GOOGLETRANSLATE(K11,""en"",""hi"")"),"श्रीशैलम मंदिर परिसर में स्थित जम्मी चेट्टू एक पवित्र वृक्ष है।
यह पौराणिक परंपराओं और विजयदशमी अनुष्ठानों से गहराई से जुड़ा हुआ है।
भक्त इस वृक्ष को अत्यंत शुभ और आध्यात्मिक रूप से महत्वपूर्ण मानते हैं।")</f>
        <v>श्रीशैलम मंदिर परिसर में स्थित जम्मी चेट्टू एक पवित्र वृक्ष है।
यह पौराणिक परंपराओं और विजयदशमी अनुष्ठानों से गहराई से जुड़ा हुआ है।
भक्त इस वृक्ष को अत्यंत शुभ और आध्यात्मिक रूप से महत्वपूर्ण मानते हैं।</v>
      </c>
      <c r="N11" s="10" t="str">
        <f>IFERROR(__xludf.DUMMYFUNCTION("GOOGLETRANSLATE(K11,""en"",""ta"")"),"ஜம்மி செட்டு என்பது ஸ்ரீசைலம் கோயில் சுற்றுப்புறத்தில் அமைந்துள்ள ஒரு புனித மரம்.
இது புராண மரபுகள் மற்றும் விஜயதசமி சடங்குகளுடன் நெருக்கமாக தொடர்புடையது.
பக்தர்கள் இந்த மரத்தை மிகவும் புனிதமானதாகவும் ஆன்மீக முக்கியத்துவம் வாய்ந்ததாகவும் கருதுகின்றனர்.")</f>
        <v>ஜம்மி செட்டு என்பது ஸ்ரீசைலம் கோயில் சுற்றுப்புறத்தில் அமைந்துள்ள ஒரு புனித மரம்.
இது புராண மரபுகள் மற்றும் விஜயதசமி சடங்குகளுடன் நெருக்கமாக தொடர்புடையது.
பக்தர்கள் இந்த மரத்தை மிகவும் புனிதமானதாகவும் ஆன்மீக முக்கியத்துவம் வாய்ந்ததாகவும் கருதுகின்றனர்.</v>
      </c>
      <c r="O11" s="8" t="str">
        <f>IFERROR(__xludf.DUMMYFUNCTION("GOOGLETRANSLATE(K11,""en"",""kn"")"),"ಜಮ್ಮಿ ಚೆಟ್ಟು ಶ್ರೀಶೈಲ ದೇವಾಲಯದ ಸುತ್ತಮುತ್ತಲಿನಲ್ಲಿರುವ ಒಂದು ಪವಿತ್ರ ಮರವಾಗಿದೆ.
ಇದು ಪೌರಾಣಿಕ ಸಂಪ್ರದಾಯಗಳು ಮತ್ತು ವಿಜಯದಶಮಿ ಆಚರಣೆಗಳೊಂದಿಗೆ ನಿಕಟ ಸಂಬಂಧ ಹೊಂದಿದೆ.
ಭಕ್ತರು ಈ ಮರವನ್ನು ಅತ್ಯಂತ ಮಂಗಳಕರ ಮತ್ತು ಆಧ್ಯಾತ್ಮಿಕವಾಗಿ ಮಹತ್ವದ್ದಾಗಿ ಪರಿಗಣಿಸುತ್ತಾರೆ.")</f>
        <v>ಜಮ್ಮಿ ಚೆಟ್ಟು ಶ್ರೀಶೈಲ ದೇವಾಲಯದ ಸುತ್ತಮುತ್ತಲಿನಲ್ಲಿರುವ ಒಂದು ಪವಿತ್ರ ಮರವಾಗಿದೆ.
ಇದು ಪೌರಾಣಿಕ ಸಂಪ್ರದಾಯಗಳು ಮತ್ತು ವಿಜಯದಶಮಿ ಆಚರಣೆಗಳೊಂದಿಗೆ ನಿಕಟ ಸಂಬಂಧ ಹೊಂದಿದೆ.
ಭಕ್ತರು ಈ ಮರವನ್ನು ಅತ್ಯಂತ ಮಂಗಳಕರ ಮತ್ತು ಆಧ್ಯಾತ್ಮಿಕವಾಗಿ ಮಹತ್ವದ್ದಾಗಿ ಪರಿಗಣಿಸುತ್ತಾರೆ.</v>
      </c>
      <c r="P11" s="10" t="str">
        <f>IFERROR(__xludf.DUMMYFUNCTION("GOOGLETRANSLATE(K11,""en"",""ml"")"),"ശ്രീശൈലം ക്ഷേത്ര പരിസരത്ത് സ്ഥിതി ചെയ്യുന്ന ഒരു പുണ്യവൃക്ഷമാണ് ജമ്മിചെട്ടു.
പുരാണ പാരമ്പര്യങ്ങളുമായും വിജയദശമി ആചാരങ്ങളുമായും ഇത് അടുത്ത ബന്ധപ്പെട്ടിരിക്കുന്നു.
ഭക്തർ ഈ വൃക്ഷത്തെ വളരെ ശുഭകരവും ആത്മീയമായി പ്രാധാന്യമുള്ളതുമായി കണക്കാക്കുന്നു.")</f>
        <v>ശ്രീശൈലം ക്ഷേത്ര പരിസരത്ത് സ്ഥിതി ചെയ്യുന്ന ഒരു പുണ്യവൃക്ഷമാണ് ജമ്മിചെട്ടു.
പുരാണ പാരമ്പര്യങ്ങളുമായും വിജയദശമി ആചാരങ്ങളുമായും ഇത് അടുത്ത ബന്ധപ്പെട്ടിരിക്കുന്നു.
ഭക്തർ ഈ വൃക്ഷത്തെ വളരെ ശുഭകരവും ആത്മീയമായി പ്രാധാന്യമുള്ളതുമായി കണക്കാക്കുന്നു.</v>
      </c>
    </row>
    <row r="12" ht="15.75" customHeight="1">
      <c r="A12" s="6">
        <f t="shared" si="1"/>
        <v>11</v>
      </c>
      <c r="B12" s="13" t="s">
        <v>76</v>
      </c>
      <c r="C12" s="14">
        <v>16.07456</v>
      </c>
      <c r="D12" s="15">
        <v>78.86796</v>
      </c>
      <c r="E12" s="13" t="s">
        <v>24</v>
      </c>
      <c r="F12" s="13" t="s">
        <v>77</v>
      </c>
      <c r="G12" s="13" t="s">
        <v>78</v>
      </c>
      <c r="H12" s="13" t="s">
        <v>79</v>
      </c>
      <c r="I12" s="13" t="s">
        <v>80</v>
      </c>
      <c r="J12" s="13" t="s">
        <v>81</v>
      </c>
      <c r="K12" s="13" t="s">
        <v>82</v>
      </c>
      <c r="L12" s="10" t="str">
        <f>IFERROR(__xludf.DUMMYFUNCTION("GOOGLETRANSLATE(K12,""en"",""te"")"),"శ్రీశైలంలోని చంద్రమతి విగ్రహం హిందూ పురాణాల నుండి రాణి చంద్రమతిని సూచిస్తుంది.
ఆమె భక్తి, ఓర్పు మరియు నీతికి గుర్తుండిపోతుంది.
ఈ విగ్రహం నైతిక విలువలు మరియు ఆధ్యాత్మిక బలాన్ని సూచిస్తుంది.")</f>
        <v>శ్రీశైలంలోని చంద్రమతి విగ్రహం హిందూ పురాణాల నుండి రాణి చంద్రమతిని సూచిస్తుంది.
ఆమె భక్తి, ఓర్పు మరియు నీతికి గుర్తుండిపోతుంది.
ఈ విగ్రహం నైతిక విలువలు మరియు ఆధ్యాత్మిక బలాన్ని సూచిస్తుంది.</v>
      </c>
      <c r="M12" s="10" t="str">
        <f>IFERROR(__xludf.DUMMYFUNCTION("GOOGLETRANSLATE(K12,""en"",""hi"")"),"श्रीशैलम में स्थित चंद्रमथी प्रतिमा हिंदू पौराणिक कथाओं की रानी चंद्रमथी का प्रतिनिधित्व करती है।
उन्हें उनकी भक्ति, धैर्य और धार्मिकता के लिए याद किया जाता है।
यह प्रतिमा नैतिक मूल्यों और आध्यात्मिक शक्ति का प्रतीक है।")</f>
        <v>श्रीशैलम में स्थित चंद्रमथी प्रतिमा हिंदू पौराणिक कथाओं की रानी चंद्रमथी का प्रतिनिधित्व करती है।
उन्हें उनकी भक्ति, धैर्य और धार्मिकता के लिए याद किया जाता है।
यह प्रतिमा नैतिक मूल्यों और आध्यात्मिक शक्ति का प्रतीक है।</v>
      </c>
      <c r="N12" s="10" t="str">
        <f>IFERROR(__xludf.DUMMYFUNCTION("GOOGLETRANSLATE(K12,""en"",""ta"")"),"ஸ்ரீசைலத்தில் உள்ள சந்திரமதி சிலை, இந்து புராணங்களில் வரும் ராணி சந்திரமதியைக் குறிக்கிறது.
அவள் பக்தி, பொறுமை மற்றும் நீதிக்காக நினைவுகூரப்படுகிறாள்.
இந்த சிலை தார்மீக விழுமியங்களையும் ஆன்மீக வலிமையையும் குறிக்கிறது.")</f>
        <v>ஸ்ரீசைலத்தில் உள்ள சந்திரமதி சிலை, இந்து புராணங்களில் வரும் ராணி சந்திரமதியைக் குறிக்கிறது.
அவள் பக்தி, பொறுமை மற்றும் நீதிக்காக நினைவுகூரப்படுகிறாள்.
இந்த சிலை தார்மீக விழுமியங்களையும் ஆன்மீக வலிமையையும் குறிக்கிறது.</v>
      </c>
      <c r="O12" s="8" t="str">
        <f>IFERROR(__xludf.DUMMYFUNCTION("GOOGLETRANSLATE(K12,""en"",""kn"")"),"ಶ್ರೀಶೈಲದಲ್ಲಿರುವ ಚಂದ್ರಮತಿ ಪ್ರತಿಮೆಯು ಹಿಂದೂ ಪುರಾಣದ ರಾಣಿ ಚಂದ್ರಮತಿಯನ್ನು ಪ್ರತಿನಿಧಿಸುತ್ತದೆ.
ಅವಳ ಭಕ್ತಿ, ತಾಳ್ಮೆ ಮತ್ತು ಸದಾಚಾರಕ್ಕಾಗಿ ಅವಳು ಸ್ಮರಿಸಲ್ಪಡುತ್ತಾಳೆ.
ಈ ಪ್ರತಿಮೆಯು ನೈತಿಕ ಮೌಲ್ಯಗಳು ಮತ್ತು ಆಧ್ಯಾತ್ಮಿಕ ಶಕ್ತಿಯನ್ನು ಸಂಕೇತಿಸುತ್ತದೆ.")</f>
        <v>ಶ್ರೀಶೈಲದಲ್ಲಿರುವ ಚಂದ್ರಮತಿ ಪ್ರತಿಮೆಯು ಹಿಂದೂ ಪುರಾಣದ ರಾಣಿ ಚಂದ್ರಮತಿಯನ್ನು ಪ್ರತಿನಿಧಿಸುತ್ತದೆ.
ಅವಳ ಭಕ್ತಿ, ತಾಳ್ಮೆ ಮತ್ತು ಸದಾಚಾರಕ್ಕಾಗಿ ಅವಳು ಸ್ಮರಿಸಲ್ಪಡುತ್ತಾಳೆ.
ಈ ಪ್ರತಿಮೆಯು ನೈತಿಕ ಮೌಲ್ಯಗಳು ಮತ್ತು ಆಧ್ಯಾತ್ಮಿಕ ಶಕ್ತಿಯನ್ನು ಸಂಕೇತಿಸುತ್ತದೆ.</v>
      </c>
      <c r="P12" s="10" t="str">
        <f>IFERROR(__xludf.DUMMYFUNCTION("GOOGLETRANSLATE(K12,""en"",""ml"")"),"ശ്രീശൈലത്തിലെ ചന്ദ്രമതി പ്രതിമ ഹിന്ദു പുരാണങ്ങളിലെ രാജ്ഞി ചന്ദ്രമതിയെ പ്രതിനിധീകരിക്കുന്നു.
ഭക്തി, ക്ഷമ, നീതി എന്നിവയാൽ അവർ ഓർമ്മിക്കപ്പെടുന്നു.
ഈ പ്രതിമ ധാർമ്മിക മൂല്യങ്ങളെയും ആത്മീയ ശക്തിയെയും പ്രതീകപ്പെടുത്തുന്നു.")</f>
        <v>ശ്രീശൈലത്തിലെ ചന്ദ്രമതി പ്രതിമ ഹിന്ദു പുരാണങ്ങളിലെ രാജ്ഞി ചന്ദ്രമതിയെ പ്രതിനിധീകരിക്കുന്നു.
ഭക്തി, ക്ഷമ, നീതി എന്നിവയാൽ അവർ ഓർമ്മിക്കപ്പെടുന്നു.
ഈ പ്രതിമ ധാർമ്മിക മൂല്യങ്ങളെയും ആത്മീയ ശക്തിയെയും പ്രതീകപ്പെടുത്തുന്നു.</v>
      </c>
    </row>
    <row r="13" ht="15.75" customHeight="1">
      <c r="A13" s="6">
        <f t="shared" si="1"/>
        <v>12</v>
      </c>
      <c r="B13" s="13" t="s">
        <v>83</v>
      </c>
      <c r="C13" s="14">
        <v>16.07471</v>
      </c>
      <c r="D13" s="15">
        <v>78.86847</v>
      </c>
      <c r="E13" s="13" t="s">
        <v>24</v>
      </c>
      <c r="F13" s="13" t="s">
        <v>84</v>
      </c>
      <c r="G13" s="13" t="s">
        <v>85</v>
      </c>
      <c r="H13" s="13" t="s">
        <v>86</v>
      </c>
      <c r="I13" s="13" t="s">
        <v>87</v>
      </c>
      <c r="J13" s="13" t="s">
        <v>88</v>
      </c>
      <c r="K13" s="13" t="s">
        <v>89</v>
      </c>
      <c r="L13" s="10" t="str">
        <f>IFERROR(__xludf.DUMMYFUNCTION("GOOGLETRANSLATE(K13,""en"",""te"")"),"యజ్ఞశాల అనేది శ్రీశైలం ఆలయ ప్రాంతంలో ఉన్న ఒక పవిత్రమైన ఆచార స్థలం.
దీనిని యజ్ఞాలు, హోమాలు మరియు వేద అగ్ని ఆచారాలు నిర్వహించడానికి ఉపయోగిస్తారు.
ఈ ప్రదేశం ఆచార స్వచ్ఛత మరియు ఆధ్యాత్మిక ప్రాముఖ్యతను కలిగి ఉంది.")</f>
        <v>యజ్ఞశాల అనేది శ్రీశైలం ఆలయ ప్రాంతంలో ఉన్న ఒక పవిత్రమైన ఆచార స్థలం.
దీనిని యజ్ఞాలు, హోమాలు మరియు వేద అగ్ని ఆచారాలు నిర్వహించడానికి ఉపయోగిస్తారు.
ఈ ప్రదేశం ఆచార స్వచ్ఛత మరియు ఆధ్యాత్మిక ప్రాముఖ్యతను కలిగి ఉంది.</v>
      </c>
      <c r="M13" s="10" t="str">
        <f>IFERROR(__xludf.DUMMYFUNCTION("GOOGLETRANSLATE(K13,""en"",""hi"")"),"यज्ञशाला श्रीशैलम मंदिर परिसर में स्थित एक पवित्र अनुष्ठान स्थल है।
इसका उपयोग यज्ञ, होमम और वैदिक अग्नि अनुष्ठानों के लिए किया जाता है।
यह स्थान अनुष्ठानिक पवित्रता और आध्यात्मिक महत्व रखता है।")</f>
        <v>यज्ञशाला श्रीशैलम मंदिर परिसर में स्थित एक पवित्र अनुष्ठान स्थल है।
इसका उपयोग यज्ञ, होमम और वैदिक अग्नि अनुष्ठानों के लिए किया जाता है।
यह स्थान अनुष्ठानिक पवित्रता और आध्यात्मिक महत्व रखता है।</v>
      </c>
      <c r="N13" s="10" t="str">
        <f>IFERROR(__xludf.DUMMYFUNCTION("GOOGLETRANSLATE(K13,""en"",""ta"")"),"யக்ஞ மண்டபம் என்பது ஸ்ரீசைலம் கோயில் பகுதியில் அமைந்துள்ள ஒரு புனிதமான சடங்கு இடமாகும்.
இது யாகங்கள், ஹோமங்கள் மற்றும் வேத நெருப்பு சடங்குகளைச் செய்வதற்குப் பயன்படுத்தப்படுகிறது.
இந்த இடம் சடங்கு தூய்மை மற்றும் ஆன்மீக முக்கியத்துவத்தைக் கொண்டுள்ளது.")</f>
        <v>யக்ஞ மண்டபம் என்பது ஸ்ரீசைலம் கோயில் பகுதியில் அமைந்துள்ள ஒரு புனிதமான சடங்கு இடமாகும்.
இது யாகங்கள், ஹோமங்கள் மற்றும் வேத நெருப்பு சடங்குகளைச் செய்வதற்குப் பயன்படுத்தப்படுகிறது.
இந்த இடம் சடங்கு தூய்மை மற்றும் ஆன்மீக முக்கியத்துவத்தைக் கொண்டுள்ளது.</v>
      </c>
      <c r="O13" s="8" t="str">
        <f>IFERROR(__xludf.DUMMYFUNCTION("GOOGLETRANSLATE(K13,""en"",""kn"")"),"ಯಜ್ಞಶಾಲೆಯು ಶ್ರೀಶೈಲ ದೇವಾಲಯ ಪ್ರದೇಶದಲ್ಲಿರುವ ಒಂದು ಪವಿತ್ರ ಧಾರ್ಮಿಕ ಸ್ಥಳವಾಗಿದೆ.
ಇದನ್ನು ಯಜ್ಞಗಳು, ಹೋಮಗಳು ಮತ್ತು ವೈದಿಕ ಅಗ್ನಿ ಆಚರಣೆಗಳನ್ನು ನಿರ್ವಹಿಸಲು ಬಳಸಲಾಗುತ್ತದೆ.
ಈ ಸ್ಥಳವು ಧಾರ್ಮಿಕ ಶುದ್ಧತೆ ಮತ್ತು ಆಧ್ಯಾತ್ಮಿಕ ಮಹತ್ವವನ್ನು ಹೊಂದಿದೆ.")</f>
        <v>ಯಜ್ಞಶಾಲೆಯು ಶ್ರೀಶೈಲ ದೇವಾಲಯ ಪ್ರದೇಶದಲ್ಲಿರುವ ಒಂದು ಪವಿತ್ರ ಧಾರ್ಮಿಕ ಸ್ಥಳವಾಗಿದೆ.
ಇದನ್ನು ಯಜ್ಞಗಳು, ಹೋಮಗಳು ಮತ್ತು ವೈದಿಕ ಅಗ್ನಿ ಆಚರಣೆಗಳನ್ನು ನಿರ್ವಹಿಸಲು ಬಳಸಲಾಗುತ್ತದೆ.
ಈ ಸ್ಥಳವು ಧಾರ್ಮಿಕ ಶುದ್ಧತೆ ಮತ್ತು ಆಧ್ಯಾತ್ಮಿಕ ಮಹತ್ವವನ್ನು ಹೊಂದಿದೆ.</v>
      </c>
      <c r="P13" s="10" t="str">
        <f>IFERROR(__xludf.DUMMYFUNCTION("GOOGLETRANSLATE(K13,""en"",""ml"")"),"ശ്രീശൈലം ക്ഷേത്ര പരിസരത്ത് സ്ഥിതി ചെയ്യുന്ന ഒരു പുണ്യ ആചാര സ്ഥലമാണ് യജ്ഞശാല.
യജ്ഞങ്ങൾ, ഹോമങ്ങൾ, വേദ അഗ്നി ആചാരങ്ങൾ എന്നിവ നടത്തുന്നതിന് ഇത് ഉപയോഗിക്കുന്നു.
ഈ സ്ഥലം ആചാരപരമായ വിശുദ്ധിയും ആത്മീയ പ്രാധാന്യവും ഉള്ളതാണ്.")</f>
        <v>ശ്രീശൈലം ക്ഷേത്ര പരിസരത്ത് സ്ഥിതി ചെയ്യുന്ന ഒരു പുണ്യ ആചാര സ്ഥലമാണ് യജ്ഞശാല.
യജ്ഞങ്ങൾ, ഹോമങ്ങൾ, വേദ അഗ്നി ആചാരങ്ങൾ എന്നിവ നടത്തുന്നതിന് ഇത് ഉപയോഗിക്കുന്നു.
ഈ സ്ഥലം ആചാരപരമായ വിശുദ്ധിയും ആത്മീയ പ്രാധാന്യവും ഉള്ളതാണ്.</v>
      </c>
    </row>
    <row r="14">
      <c r="A14" s="6">
        <f t="shared" si="1"/>
        <v>13</v>
      </c>
      <c r="B14" s="6" t="s">
        <v>90</v>
      </c>
      <c r="C14" s="6">
        <v>16.0801635</v>
      </c>
      <c r="D14" s="6">
        <v>78.8606167</v>
      </c>
      <c r="E14" s="5" t="s">
        <v>24</v>
      </c>
      <c r="F14" s="11" t="str">
        <f>IFERROR(__xludf.DUMMYFUNCTION("GOOGLETRANSLATE(B14,""en"",""te"")"),"మల్లమ్మ కన్నీరు ఆలయం")</f>
        <v>మల్లమ్మ కన్నీరు ఆలయం</v>
      </c>
      <c r="G14" s="10" t="str">
        <f>IFERROR(__xludf.DUMMYFUNCTION("GOOGLETRANSLATE(B14,""en"",""hi"")"),"मल्लम्मा कन्नेरू मंदिर")</f>
        <v>मल्लम्मा कन्नेरू मंदिर</v>
      </c>
      <c r="H14" s="10" t="str">
        <f>IFERROR(__xludf.DUMMYFUNCTION("GOOGLETRANSLATE(B14,""en"",""ta"")"),"மல்லம்மா கண்ணீரு கோயில்")</f>
        <v>மல்லம்மா கண்ணீரு கோயில்</v>
      </c>
      <c r="I14" s="10" t="str">
        <f>IFERROR(__xludf.DUMMYFUNCTION("GOOGLETRANSLATE(B14,""en"",""kn"")"),"ಮಲ್ಲಮ್ಮ ಕಣ್ಣೀರು ದೇವಸ್ಥಾನ")</f>
        <v>ಮಲ್ಲಮ್ಮ ಕಣ್ಣೀರು ದೇವಸ್ಥಾನ</v>
      </c>
      <c r="J14" s="10" t="str">
        <f>IFERROR(__xludf.DUMMYFUNCTION("GOOGLETRANSLATE(B14,""en"",""ml"")"),"മല്ലമ്മ കണ്ണീർ ക്ഷേത്രം")</f>
        <v>മല്ലമ്മ കണ്ണീർ ക്ഷേത്രം</v>
      </c>
      <c r="K14" s="12" t="s">
        <v>91</v>
      </c>
      <c r="L14" s="10" t="str">
        <f>IFERROR(__xludf.DUMMYFUNCTION("GOOGLETRANSLATE(K14,""en"",""te"")"),"ఈ ఆలయం శ్రీశైల సంప్రదాయాలకు సంబంధించిన భక్తురాలు మల్లమ్మ కథతో ముడిపడి ఉంది. సమీపంలోని ఒక పవిత్ర జల వనరు ఆధ్యాత్మిక ప్రాముఖ్యతను కలిగి ఉందని నమ్ముతారు. భక్తులు ఆశీర్వాదం మరియు శాంతిని కోరుతూ ఆలయాన్ని సందర్శిస్తారు.")</f>
        <v>ఈ ఆలయం శ్రీశైల సంప్రదాయాలకు సంబంధించిన భక్తురాలు మల్లమ్మ కథతో ముడిపడి ఉంది. సమీపంలోని ఒక పవిత్ర జల వనరు ఆధ్యాత్మిక ప్రాముఖ్యతను కలిగి ఉందని నమ్ముతారు. భక్తులు ఆశీర్వాదం మరియు శాంతిని కోరుతూ ఆలయాన్ని సందర్శిస్తారు.</v>
      </c>
      <c r="M14" s="10" t="str">
        <f>IFERROR(__xludf.DUMMYFUNCTION("GOOGLETRANSLATE(K14,""en"",""hi"")"),"यह मंदिर श्रीशैलम परंपराओं से जुड़ी एक समर्पित अनुयायी मल्लाम्मा की कथा से संबंधित है। पास में स्थित एक पवित्र जलस्रोत को आध्यात्मिक महत्व का माना जाता है। भक्त आशीर्वाद और शांति की प्राप्ति के लिए मंदिर में दर्शन करने आते हैं।")</f>
        <v>यह मंदिर श्रीशैलम परंपराओं से जुड़ी एक समर्पित अनुयायी मल्लाम्मा की कथा से संबंधित है। पास में स्थित एक पवित्र जलस्रोत को आध्यात्मिक महत्व का माना जाता है। भक्त आशीर्वाद और शांति की प्राप्ति के लिए मंदिर में दर्शन करने आते हैं।</v>
      </c>
      <c r="N14" s="10" t="str">
        <f>IFERROR(__xludf.DUMMYFUNCTION("GOOGLETRANSLATE(K14,""en"",""ta"")"),"இந்த கோயில் ஸ்ரீசைலம் மரபுகளுடன் தொடர்புடைய ஒரு பக்தியுள்ள பக்தையான மல்லம்மாவின் கதையுடன் தொடர்புடையது. அருகிலுள்ள ஒரு புனித நீர் ஆதாரம் ஆன்மீக முக்கியத்துவம் வாய்ந்ததாக நம்பப்படுகிறது. பக்தர்கள் ஆசீர்வாதத்தையும் அமைதியையும் தேடி கோயிலுக்கு வருகிறார்கள்.")</f>
        <v>இந்த கோயில் ஸ்ரீசைலம் மரபுகளுடன் தொடர்புடைய ஒரு பக்தியுள்ள பக்தையான மல்லம்மாவின் கதையுடன் தொடர்புடையது. அருகிலுள்ள ஒரு புனித நீர் ஆதாரம் ஆன்மீக முக்கியத்துவம் வாய்ந்ததாக நம்பப்படுகிறது. பக்தர்கள் ஆசீர்வாதத்தையும் அமைதியையும் தேடி கோயிலுக்கு வருகிறார்கள்.</v>
      </c>
      <c r="O14" s="10" t="str">
        <f>IFERROR(__xludf.DUMMYFUNCTION("GOOGLETRANSLATE(K14,""en"",""kn"")"),"ಈ ದೇವಾಲಯವು ಶ್ರೀಶೈಲ ಸಂಪ್ರದಾಯಗಳಿಗೆ ಸಂಬಂಧಿಸಿದ ಭಕ್ತೆ ಮಲ್ಲಮ್ಮಳ ಕಥೆಯೊಂದಿಗೆ ಸಂಬಂಧ ಹೊಂದಿದೆ. ಹತ್ತಿರದಲ್ಲಿರುವ ಪವಿತ್ರ ನೀರಿನ ಮೂಲವು ಆಧ್ಯಾತ್ಮಿಕ ಪ್ರಾಮುಖ್ಯತೆಯನ್ನು ಹೊಂದಿದೆ ಎಂದು ನಂಬಲಾಗಿದೆ. ಭಕ್ತರು ಆಶೀರ್ವಾದ ಮತ್ತು ಶಾಂತಿಯನ್ನು ಪಡೆಯಲು ದೇವಾಲಯಕ್ಕೆ ಭೇಟಿ ನೀಡುತ್ತಾರೆ.")</f>
        <v>ಈ ದೇವಾಲಯವು ಶ್ರೀಶೈಲ ಸಂಪ್ರದಾಯಗಳಿಗೆ ಸಂಬಂಧಿಸಿದ ಭಕ್ತೆ ಮಲ್ಲಮ್ಮಳ ಕಥೆಯೊಂದಿಗೆ ಸಂಬಂಧ ಹೊಂದಿದೆ. ಹತ್ತಿರದಲ್ಲಿರುವ ಪವಿತ್ರ ನೀರಿನ ಮೂಲವು ಆಧ್ಯಾತ್ಮಿಕ ಪ್ರಾಮುಖ್ಯತೆಯನ್ನು ಹೊಂದಿದೆ ಎಂದು ನಂಬಲಾಗಿದೆ. ಭಕ್ತರು ಆಶೀರ್ವಾದ ಮತ್ತು ಶಾಂತಿಯನ್ನು ಪಡೆಯಲು ದೇವಾಲಯಕ್ಕೆ ಭೇಟಿ ನೀಡುತ್ತಾರೆ.</v>
      </c>
      <c r="P14" s="10" t="str">
        <f>IFERROR(__xludf.DUMMYFUNCTION("GOOGLETRANSLATE(K14,""en"",""ml"")"),"ശ്രീശൈലം പാരമ്പര്യങ്ങളുമായി ബന്ധപ്പെട്ട ഒരു ഭക്ത അനുയായിയായ മല്ലമ്മയുടെ കഥയുമായി ഈ ക്ഷേത്രം ബന്ധപ്പെട്ടിരിക്കുന്നു. സമീപത്തുള്ള ഒരു പുണ്യ ജലസ്രോതസ്സിന് ആത്മീയ പ്രാധാന്യമുണ്ടെന്ന് വിശ്വസിക്കപ്പെടുന്നു. അനുഗ്രഹവും സമാധാനവും തേടി ഭക്തർ ക്ഷേത്രം സന്ദർശിക്കുന്"&amp;"നു.")</f>
        <v>ശ്രീശൈലം പാരമ്പര്യങ്ങളുമായി ബന്ധപ്പെട്ട ഒരു ഭക്ത അനുയായിയായ മല്ലമ്മയുടെ കഥയുമായി ഈ ക്ഷേത്രം ബന്ധപ്പെട്ടിരിക്കുന്നു. സമീപത്തുള്ള ഒരു പുണ്യ ജലസ്രോതസ്സിന് ആത്മീയ പ്രാധാന്യമുണ്ടെന്ന് വിശ്വസിക്കപ്പെടുന്നു. അനുഗ്രഹവും സമാധാനവും തേടി ഭക്തർ ക്ഷേത്രം സന്ദർശിക്കുന്നു.</v>
      </c>
    </row>
    <row r="15">
      <c r="A15" s="6">
        <f t="shared" si="1"/>
        <v>14</v>
      </c>
      <c r="B15" s="5" t="s">
        <v>92</v>
      </c>
      <c r="C15" s="6">
        <v>16.072672</v>
      </c>
      <c r="D15" s="6">
        <v>78.8645805</v>
      </c>
      <c r="E15" s="5" t="s">
        <v>24</v>
      </c>
      <c r="F15" s="20" t="s">
        <v>93</v>
      </c>
      <c r="G15" s="8" t="s">
        <v>94</v>
      </c>
      <c r="H15" s="8" t="s">
        <v>95</v>
      </c>
      <c r="I15" s="8" t="s">
        <v>96</v>
      </c>
      <c r="J15" s="8" t="s">
        <v>97</v>
      </c>
      <c r="K15" s="12" t="s">
        <v>98</v>
      </c>
      <c r="L15" s="10" t="str">
        <f>IFERROR(__xludf.DUMMYFUNCTION("GOOGLETRANSLATE(K15,""en"",""te"")"),"ఈ పీఠం లక్ష్మీ దేవికి అంకితం చేయబడింది మరియు శ్రీశైలంలో ఒక ఆధ్యాత్మిక కేంద్రంగా పనిచేస్తుంది. ఇది క్రమం తప్పకుండా పూజలు, ప్రార్థనలు మరియు మతపరమైన కార్యకలాపాలకు ప్రసిద్ధి చెందింది. భక్తులు శ్రేయస్సు మరియు శ్రేయస్సు కోసం సందర్శిస్తారు.")</f>
        <v>ఈ పీఠం లక్ష్మీ దేవికి అంకితం చేయబడింది మరియు శ్రీశైలంలో ఒక ఆధ్యాత్మిక కేంద్రంగా పనిచేస్తుంది. ఇది క్రమం తప్పకుండా పూజలు, ప్రార్థనలు మరియు మతపరమైన కార్యకలాపాలకు ప్రసిద్ధి చెందింది. భక్తులు శ్రేయస్సు మరియు శ్రేయస్సు కోసం సందర్శిస్తారు.</v>
      </c>
      <c r="M15" s="10" t="str">
        <f>IFERROR(__xludf.DUMMYFUNCTION("GOOGLETRANSLATE(K15,""en"",""hi"")"),"यह पीठम देवी लक्ष्मी को समर्पित है और श्रीशैलम में एक आध्यात्मिक केंद्र के रूप में कार्य करता है। यह नियमित पूजा-अर्चना और धार्मिक गतिविधियों के लिए प्रसिद्ध है। भक्त समृद्धि और खुशहाली के लिए यहां आते हैं।")</f>
        <v>यह पीठम देवी लक्ष्मी को समर्पित है और श्रीशैलम में एक आध्यात्मिक केंद्र के रूप में कार्य करता है। यह नियमित पूजा-अर्चना और धार्मिक गतिविधियों के लिए प्रसिद्ध है। भक्त समृद्धि और खुशहाली के लिए यहां आते हैं।</v>
      </c>
      <c r="N15" s="10" t="str">
        <f>IFERROR(__xludf.DUMMYFUNCTION("GOOGLETRANSLATE(K15,""en"",""ta"")"),"இந்த பீடம் லட்சுமி தேவிக்கு அர்ப்பணிக்கப்பட்டுள்ளது மற்றும் ஸ்ரீசைலத்தில் ஒரு ஆன்மீக மையமாக செயல்படுகிறது. இது வழக்கமான வழிபாடு, பிரார்த்தனைகள் மற்றும் மத நடவடிக்கைகளுக்கு பெயர் பெற்றது. பக்தர்கள் செழிப்பு மற்றும் நல்வாழ்வுக்காக வருகை தருகின்றனர்.")</f>
        <v>இந்த பீடம் லட்சுமி தேவிக்கு அர்ப்பணிக்கப்பட்டுள்ளது மற்றும் ஸ்ரீசைலத்தில் ஒரு ஆன்மீக மையமாக செயல்படுகிறது. இது வழக்கமான வழிபாடு, பிரார்த்தனைகள் மற்றும் மத நடவடிக்கைகளுக்கு பெயர் பெற்றது. பக்தர்கள் செழிப்பு மற்றும் நல்வாழ்வுக்காக வருகை தருகின்றனர்.</v>
      </c>
      <c r="O15" s="10" t="str">
        <f>IFERROR(__xludf.DUMMYFUNCTION("GOOGLETRANSLATE(K15,""en"",""kn"")"),"ಈ ಪೀಠವು ಲಕ್ಷ್ಮಿ ದೇವಿಗೆ ಅರ್ಪಿತವಾಗಿದ್ದು ಶ್ರೀಶೈಲದಲ್ಲಿ ಆಧ್ಯಾತ್ಮಿಕ ಕೇಂದ್ರವಾಗಿ ಕಾರ್ಯನಿರ್ವಹಿಸುತ್ತದೆ. ಇದು ನಿಯಮಿತ ಪೂಜೆ, ಪ್ರಾರ್ಥನೆ ಮತ್ತು ಧಾರ್ಮಿಕ ಚಟುವಟಿಕೆಗಳಿಗೆ ಹೆಸರುವಾಸಿಯಾಗಿದೆ. ಸಮೃದ್ಧಿ ಮತ್ತು ಯೋಗಕ್ಷೇಮಕ್ಕಾಗಿ ಭಕ್ತರು ಭೇಟಿ ನೀಡುತ್ತಾರೆ.")</f>
        <v>ಈ ಪೀಠವು ಲಕ್ಷ್ಮಿ ದೇವಿಗೆ ಅರ್ಪಿತವಾಗಿದ್ದು ಶ್ರೀಶೈಲದಲ್ಲಿ ಆಧ್ಯಾತ್ಮಿಕ ಕೇಂದ್ರವಾಗಿ ಕಾರ್ಯನಿರ್ವಹಿಸುತ್ತದೆ. ಇದು ನಿಯಮಿತ ಪೂಜೆ, ಪ್ರಾರ್ಥನೆ ಮತ್ತು ಧಾರ್ಮಿಕ ಚಟುವಟಿಕೆಗಳಿಗೆ ಹೆಸರುವಾಸಿಯಾಗಿದೆ. ಸಮೃದ್ಧಿ ಮತ್ತು ಯೋಗಕ್ಷೇಮಕ್ಕಾಗಿ ಭಕ್ತರು ಭೇಟಿ ನೀಡುತ್ತಾರೆ.</v>
      </c>
      <c r="P15" s="10" t="str">
        <f>IFERROR(__xludf.DUMMYFUNCTION("GOOGLETRANSLATE(K15,""en"",""ml"")"),"ലക്ഷ്മി ദേവിക്ക് സമർപ്പിച്ചിരിക്കുന്ന ഈ പീഠം ശ്രീശൈലത്തിലെ ഒരു ആത്മീയ കേന്ദ്രമായി വർത്തിക്കുന്നു. പതിവ് ആരാധന, പ്രാർത്ഥനകൾ, മതപരമായ പ്രവർത്തനങ്ങൾ എന്നിവയ്ക്ക് പേരുകേട്ടതാണ് ഇത്. ഐശ്വര്യത്തിനും ക്ഷേമത്തിനും വേണ്ടി ഭക്തർ ഇവിടെ സന്ദർശിക്കുന്നു.")</f>
        <v>ലക്ഷ്മി ദേവിക്ക് സമർപ്പിച്ചിരിക്കുന്ന ഈ പീഠം ശ്രീശൈലത്തിലെ ഒരു ആത്മീയ കേന്ദ്രമായി വർത്തിക്കുന്നു. പതിവ് ആരാധന, പ്രാർത്ഥനകൾ, മതപരമായ പ്രവർത്തനങ്ങൾ എന്നിവയ്ക്ക് പേരുകേട്ടതാണ് ഇത്. ഐശ്വര്യത്തിനും ക്ഷേമത്തിനും വേണ്ടി ഭക്തർ ഇവിടെ സന്ദർശിക്കുന്നു.</v>
      </c>
    </row>
    <row r="16">
      <c r="A16" s="6">
        <f t="shared" si="1"/>
        <v>15</v>
      </c>
      <c r="B16" s="6" t="s">
        <v>99</v>
      </c>
      <c r="C16" s="6">
        <v>16.0759574</v>
      </c>
      <c r="D16" s="6">
        <v>78.8642436</v>
      </c>
      <c r="E16" s="5" t="s">
        <v>24</v>
      </c>
      <c r="F16" s="11" t="str">
        <f>IFERROR(__xludf.DUMMYFUNCTION("GOOGLETRANSLATE(B16,""en"",""te"")"),"శ్రీ వేమనారాధ్య పీఠం")</f>
        <v>శ్రీ వేమనారాధ్య పీఠం</v>
      </c>
      <c r="G16" s="10" t="str">
        <f>IFERROR(__xludf.DUMMYFUNCTION("GOOGLETRANSLATE(B16,""en"",""hi"")"),"श्री वेमनारध्या पीठम")</f>
        <v>श्री वेमनारध्या पीठम</v>
      </c>
      <c r="H16" s="10" t="str">
        <f>IFERROR(__xludf.DUMMYFUNCTION("GOOGLETRANSLATE(B16,""en"",""ta"")"),"ஸ்ரீ வேமனாராத்ய பீடம்")</f>
        <v>ஸ்ரீ வேமனாராத்ய பீடம்</v>
      </c>
      <c r="I16" s="10" t="str">
        <f>IFERROR(__xludf.DUMMYFUNCTION("GOOGLETRANSLATE(B16,""en"",""kn"")"),"ಶ್ರೀ ವೇಮನಾರಾಧ್ಯ ಪೀಠ")</f>
        <v>ಶ್ರೀ ವೇಮನಾರಾಧ್ಯ ಪೀಠ</v>
      </c>
      <c r="J16" s="10" t="str">
        <f>IFERROR(__xludf.DUMMYFUNCTION("GOOGLETRANSLATE(B16,""en"",""ml"")"),"ശ്രീ വേമനാരാധ്യ പീഠം")</f>
        <v>ശ്രീ വേമനാരാധ്യ പീഠം</v>
      </c>
      <c r="K16" s="12" t="s">
        <v>100</v>
      </c>
      <c r="L16" s="10" t="str">
        <f>IFERROR(__xludf.DUMMYFUNCTION("GOOGLETRANSLATE(K16,""en"",""te"")"),"ఈ పీఠం శ్రీశైలంతో ముడిపడి ఉన్న శైవ సాధువు సంప్రదాయంతో ముడిపడి ఉంది. ఇది ఆధ్యాత్మిక అభ్యాసం మరియు భక్తికి ఒక ప్రదేశంగా పనిచేస్తుంది. సందర్శకులు మార్గదర్శకత్వం మరియు మతపరమైన ప్రతిబింబం కోసం ఇక్కడికి వస్తారు.")</f>
        <v>ఈ పీఠం శ్రీశైలంతో ముడిపడి ఉన్న శైవ సాధువు సంప్రదాయంతో ముడిపడి ఉంది. ఇది ఆధ్యాత్మిక అభ్యాసం మరియు భక్తికి ఒక ప్రదేశంగా పనిచేస్తుంది. సందర్శకులు మార్గదర్శకత్వం మరియు మతపరమైన ప్రతిబింబం కోసం ఇక్కడికి వస్తారు.</v>
      </c>
      <c r="M16" s="10" t="str">
        <f>IFERROR(__xludf.DUMMYFUNCTION("GOOGLETRANSLATE(K16,""en"",""hi"")"),"यह पीठम श्रीशैलम से जुड़ी शैव संत परंपरा से संबंधित है। यह आध्यात्मिक शिक्षा और भक्ति का केंद्र है। आगंतुक यहां मार्गदर्शन और धार्मिक चिंतन के लिए आते हैं।")</f>
        <v>यह पीठम श्रीशैलम से जुड़ी शैव संत परंपरा से संबंधित है। यह आध्यात्मिक शिक्षा और भक्ति का केंद्र है। आगंतुक यहां मार्गदर्शन और धार्मिक चिंतन के लिए आते हैं।</v>
      </c>
      <c r="N16" s="10" t="str">
        <f>IFERROR(__xludf.DUMMYFUNCTION("GOOGLETRANSLATE(K16,""en"",""ta"")"),"இந்த பீடம் ஸ்ரீசைலத்துடன் தொடர்புடைய சைவ துறவி பாரம்பரியத்துடன் தொடர்புடையது. இது ஆன்மீக கற்றல் மற்றும் பக்திக்கான இடமாக செயல்படுகிறது. பார்வையாளர்கள் வழிகாட்டுதல் மற்றும் மத பிரதிபலிப்புக்காக இங்கு வருகிறார்கள்.")</f>
        <v>இந்த பீடம் ஸ்ரீசைலத்துடன் தொடர்புடைய சைவ துறவி பாரம்பரியத்துடன் தொடர்புடையது. இது ஆன்மீக கற்றல் மற்றும் பக்திக்கான இடமாக செயல்படுகிறது. பார்வையாளர்கள் வழிகாட்டுதல் மற்றும் மத பிரதிபலிப்புக்காக இங்கு வருகிறார்கள்.</v>
      </c>
      <c r="O16" s="10" t="str">
        <f>IFERROR(__xludf.DUMMYFUNCTION("GOOGLETRANSLATE(K16,""en"",""kn"")"),"ಈ ಪೀಠವು ಶ್ರೀಶೈಲಕ್ಕೆ ಸಂಬಂಧಿಸಿದ ಶೈವ ಸಂತ ಸಂಪ್ರದಾಯದೊಂದಿಗೆ ಸಂಬಂಧ ಹೊಂದಿದೆ. ಇದು ಆಧ್ಯಾತ್ಮಿಕ ಕಲಿಕೆ ಮತ್ತು ಭಕ್ತಿಗೆ ಒಂದು ಸ್ಥಳವಾಗಿ ಕಾರ್ಯನಿರ್ವಹಿಸುತ್ತದೆ. ಪ್ರವಾಸಿಗರು ಮಾರ್ಗದರ್ಶನ ಮತ್ತು ಧಾರ್ಮಿಕ ಚಿಂತನೆಗಾಗಿ ಇಲ್ಲಿಗೆ ಬರುತ್ತಾರೆ.")</f>
        <v>ಈ ಪೀಠವು ಶ್ರೀಶೈಲಕ್ಕೆ ಸಂಬಂಧಿಸಿದ ಶೈವ ಸಂತ ಸಂಪ್ರದಾಯದೊಂದಿಗೆ ಸಂಬಂಧ ಹೊಂದಿದೆ. ಇದು ಆಧ್ಯಾತ್ಮಿಕ ಕಲಿಕೆ ಮತ್ತು ಭಕ್ತಿಗೆ ಒಂದು ಸ್ಥಳವಾಗಿ ಕಾರ್ಯನಿರ್ವಹಿಸುತ್ತದೆ. ಪ್ರವಾಸಿಗರು ಮಾರ್ಗದರ್ಶನ ಮತ್ತು ಧಾರ್ಮಿಕ ಚಿಂತನೆಗಾಗಿ ಇಲ್ಲಿಗೆ ಬರುತ್ತಾರೆ.</v>
      </c>
      <c r="P16" s="10" t="str">
        <f>IFERROR(__xludf.DUMMYFUNCTION("GOOGLETRANSLATE(K16,""en"",""ml"")"),"ശ്രീശൈലവുമായി ബന്ധപ്പെട്ട ശൈവ സന്യാസ പാരമ്പര്യവുമായി ഈ പീഠം ബന്ധപ്പെട്ടിരിക്കുന്നു. ആത്മീയ പഠനത്തിനും ഭക്തിക്കും വേണ്ടിയുള്ള ഒരു സ്ഥലമാണിത്. മാർഗനിർദേശത്തിനും മതപരമായ ധ്യാനത്തിനുമായി സന്ദർശകർ ഇവിടെയെത്തുന്നു.")</f>
        <v>ശ്രീശൈലവുമായി ബന്ധപ്പെട്ട ശൈവ സന്യാസ പാരമ്പര്യവുമായി ഈ പീഠം ബന്ധപ്പെട്ടിരിക്കുന്നു. ആത്മീയ പഠനത്തിനും ഭക്തിക്കും വേണ്ടിയുള്ള ഒരു സ്ഥലമാണിത്. മാർഗനിർദേശത്തിനും മതപരമായ ധ്യാനത്തിനുമായി സന്ദർശകർ ഇവിടെയെത്തുന്നു.</v>
      </c>
    </row>
    <row r="17">
      <c r="A17" s="6">
        <f t="shared" si="1"/>
        <v>16</v>
      </c>
      <c r="B17" s="6" t="s">
        <v>101</v>
      </c>
      <c r="C17" s="6">
        <v>16.0770268</v>
      </c>
      <c r="D17" s="6">
        <v>78.8622053</v>
      </c>
      <c r="E17" s="5" t="s">
        <v>24</v>
      </c>
      <c r="F17" s="11" t="str">
        <f>IFERROR(__xludf.DUMMYFUNCTION("GOOGLETRANSLATE(B17,""en"",""te"")"),"మహిషాసుర మర్దిని ఆలయం")</f>
        <v>మహిషాసుర మర్దిని ఆలయం</v>
      </c>
      <c r="G17" s="10" t="str">
        <f>IFERROR(__xludf.DUMMYFUNCTION("GOOGLETRANSLATE(B17,""en"",""hi"")"),"महिषासुर मर्दिनी मंदिर")</f>
        <v>महिषासुर मर्दिनी मंदिर</v>
      </c>
      <c r="H17" s="10" t="str">
        <f>IFERROR(__xludf.DUMMYFUNCTION("GOOGLETRANSLATE(B17,""en"",""ta"")"),"மகிஷாசுர மர்தினி கோயில்")</f>
        <v>மகிஷாசுர மர்தினி கோயில்</v>
      </c>
      <c r="I17" s="10" t="str">
        <f>IFERROR(__xludf.DUMMYFUNCTION("GOOGLETRANSLATE(B17,""en"",""kn"")"),"ಮಹಿಷಾಸುರ ಮರ್ದಿನಿ ದೇವಾಲಯ")</f>
        <v>ಮಹಿಷಾಸುರ ಮರ್ದಿನಿ ದೇವಾಲಯ</v>
      </c>
      <c r="J17" s="10" t="str">
        <f>IFERROR(__xludf.DUMMYFUNCTION("GOOGLETRANSLATE(B17,""en"",""ml"")"),"മഹിഷാസുര മർദ്ദിനി ക്ഷേത്രം")</f>
        <v>മഹിഷാസുര മർദ്ദിനി ക്ഷേത്രം</v>
      </c>
      <c r="K17" s="12" t="s">
        <v>102</v>
      </c>
      <c r="L17" s="10" t="str">
        <f>IFERROR(__xludf.DUMMYFUNCTION("GOOGLETRANSLATE(K17,""en"",""te"")"),"దుర్గాదేవి మహిషాసుర మర్దిని రూపంలో ఆమెకు అంకితం చేయబడిన ఈ ఆలయం చెడుపై మంచి విజయాన్ని సూచిస్తుంది. ఇది శ్రీశైలంలో ఒక ముఖ్యమైన శక్తి ఆరాధన స్థలం. భక్తులు బలం మరియు రక్షణ కోసం ప్రార్థనలు చేస్తారు.")</f>
        <v>దుర్గాదేవి మహిషాసుర మర్దిని రూపంలో ఆమెకు అంకితం చేయబడిన ఈ ఆలయం చెడుపై మంచి విజయాన్ని సూచిస్తుంది. ఇది శ్రీశైలంలో ఒక ముఖ్యమైన శక్తి ఆరాధన స్థలం. భక్తులు బలం మరియు రక్షణ కోసం ప్రార్థనలు చేస్తారు.</v>
      </c>
      <c r="M17" s="10" t="str">
        <f>IFERROR(__xludf.DUMMYFUNCTION("GOOGLETRANSLATE(K17,""en"",""hi"")"),"महिषासुर मर्दिनी रूप में देवी दुर्गा को समर्पित यह मंदिर बुराई पर अच्छाई की विजय का प्रतीक है। यह श्रीशैलम में शक्ति पूजा का एक महत्वपूर्ण स्थल है। भक्त यहां शक्ति और सुरक्षा के लिए प्रार्थना करते हैं।")</f>
        <v>महिषासुर मर्दिनी रूप में देवी दुर्गा को समर्पित यह मंदिर बुराई पर अच्छाई की विजय का प्रतीक है। यह श्रीशैलम में शक्ति पूजा का एक महत्वपूर्ण स्थल है। भक्त यहां शक्ति और सुरक्षा के लिए प्रार्थना करते हैं।</v>
      </c>
      <c r="N17" s="10" t="str">
        <f>IFERROR(__xludf.DUMMYFUNCTION("GOOGLETRANSLATE(K17,""en"",""ta"")"),"மகிஷாசுர மர்தினி வடிவத்தில் துர்கா தேவிக்கு அர்ப்பணிக்கப்பட்ட இந்த கோயில், தீமையை நன்மை வென்றதைக் குறிக்கிறது. இது ஸ்ரீசைலத்தில் உள்ள ஒரு முக்கியமான சக்தி வழிபாட்டுத் தலமாகும். பக்தர்கள் வலிமை மற்றும் பாதுகாப்பிற்காக பிரார்த்தனை செய்கிறார்கள்.")</f>
        <v>மகிஷாசுர மர்தினி வடிவத்தில் துர்கா தேவிக்கு அர்ப்பணிக்கப்பட்ட இந்த கோயில், தீமையை நன்மை வென்றதைக் குறிக்கிறது. இது ஸ்ரீசைலத்தில் உள்ள ஒரு முக்கியமான சக்தி வழிபாட்டுத் தலமாகும். பக்தர்கள் வலிமை மற்றும் பாதுகாப்பிற்காக பிரார்த்தனை செய்கிறார்கள்.</v>
      </c>
      <c r="O17" s="10" t="str">
        <f>IFERROR(__xludf.DUMMYFUNCTION("GOOGLETRANSLATE(K17,""en"",""kn"")"),"ಮಹಿಷಾಸುರ ಮರ್ದಿನಿ ರೂಪದಲ್ಲಿ ದುರ್ಗಾ ದೇವಿಗೆ ಸಮರ್ಪಿತವಾದ ಈ ದೇವಾಲಯವು ದುಷ್ಟಶಕ್ತಿಯ ಮೇಲೆ ಒಳ್ಳೆಯದರ ವಿಜಯವನ್ನು ಪ್ರತಿನಿಧಿಸುತ್ತದೆ. ಇದು ಶ್ರೀಶೈಲದಲ್ಲಿ ಪ್ರಮುಖ ಶಕ್ತಿ ಪೂಜಾ ಸ್ಥಳವಾಗಿದೆ. ಭಕ್ತರು ಶಕ್ತಿ ಮತ್ತು ರಕ್ಷಣೆಗಾಗಿ ಪ್ರಾರ್ಥನೆ ಸಲ್ಲಿಸುತ್ತಾರೆ.")</f>
        <v>ಮಹಿಷಾಸುರ ಮರ್ದಿನಿ ರೂಪದಲ್ಲಿ ದುರ್ಗಾ ದೇವಿಗೆ ಸಮರ್ಪಿತವಾದ ಈ ದೇವಾಲಯವು ದುಷ್ಟಶಕ್ತಿಯ ಮೇಲೆ ಒಳ್ಳೆಯದರ ವಿಜಯವನ್ನು ಪ್ರತಿನಿಧಿಸುತ್ತದೆ. ಇದು ಶ್ರೀಶೈಲದಲ್ಲಿ ಪ್ರಮುಖ ಶಕ್ತಿ ಪೂಜಾ ಸ್ಥಳವಾಗಿದೆ. ಭಕ್ತರು ಶಕ್ತಿ ಮತ್ತು ರಕ್ಷಣೆಗಾಗಿ ಪ್ರಾರ್ಥನೆ ಸಲ್ಲಿಸುತ್ತಾರೆ.</v>
      </c>
      <c r="P17" s="10" t="str">
        <f>IFERROR(__xludf.DUMMYFUNCTION("GOOGLETRANSLATE(K17,""en"",""ml"")"),"മഹിഷാസുര മർദ്ദിനി രൂപത്തിൽ ദുർഗ്ഗാ ദേവിയെ ആരാധിക്കുന്ന ഈ ക്ഷേത്രം തിന്മയുടെ മേൽ നന്മയുടെ വിജയത്തെ പ്രതിനിധീകരിക്കുന്നു. ശ്രീശൈലത്തിലെ ഒരു പ്രധാന ശക്തി ആരാധനാ കേന്ദ്രമാണിത്. ശക്തിക്കും സംരക്ഷണത്തിനുമായി ഭക്തർ പ്രാർത്ഥിക്കുന്നു.")</f>
        <v>മഹിഷാസുര മർദ്ദിനി രൂപത്തിൽ ദുർഗ്ഗാ ദേവിയെ ആരാധിക്കുന്ന ഈ ക്ഷേത്രം തിന്മയുടെ മേൽ നന്മയുടെ വിജയത്തെ പ്രതിനിധീകരിക്കുന്നു. ശ്രീശൈലത്തിലെ ഒരു പ്രധാന ശക്തി ആരാധനാ കേന്ദ്രമാണിത്. ശക്തിക്കും സംരക്ഷണത്തിനുമായി ഭക്തർ പ്രാർത്ഥിക്കുന്നു.</v>
      </c>
    </row>
    <row r="18">
      <c r="A18" s="6">
        <f t="shared" si="1"/>
        <v>17</v>
      </c>
      <c r="B18" s="6" t="s">
        <v>103</v>
      </c>
      <c r="C18" s="6">
        <v>16.0777406</v>
      </c>
      <c r="D18" s="6">
        <v>78.8625169</v>
      </c>
      <c r="E18" s="5" t="s">
        <v>24</v>
      </c>
      <c r="F18" s="11" t="str">
        <f>IFERROR(__xludf.DUMMYFUNCTION("GOOGLETRANSLATE(B18,""en"",""te"")"),"శ్రీ చాముండేశ్వరి ఆలయం")</f>
        <v>శ్రీ చాముండేశ్వరి ఆలయం</v>
      </c>
      <c r="G18" s="10" t="str">
        <f>IFERROR(__xludf.DUMMYFUNCTION("GOOGLETRANSLATE(B18,""en"",""hi"")"),"श्री चामुंडेश्वरी आलयम")</f>
        <v>श्री चामुंडेश्वरी आलयम</v>
      </c>
      <c r="H18" s="10" t="str">
        <f>IFERROR(__xludf.DUMMYFUNCTION("GOOGLETRANSLATE(B18,""en"",""ta"")"),"ஸ்ரீ சாமுண்டீஸ்வரி ஆலயம்")</f>
        <v>ஸ்ரீ சாமுண்டீஸ்வரி ஆலயம்</v>
      </c>
      <c r="I18" s="10" t="str">
        <f>IFERROR(__xludf.DUMMYFUNCTION("GOOGLETRANSLATE(B18,""en"",""kn"")"),"ಶ್ರೀ ಚಾಮುಂಡೇಶ್ವರಿ ಆಲಯ")</f>
        <v>ಶ್ರೀ ಚಾಮುಂಡೇಶ್ವರಿ ಆಲಯ</v>
      </c>
      <c r="J18" s="10" t="str">
        <f>IFERROR(__xludf.DUMMYFUNCTION("GOOGLETRANSLATE(B18,""en"",""ml"")"),"ശ്രീ ചാമുണ്ഡേശ്വരി ആലയം")</f>
        <v>ശ്രീ ചാമുണ്ഡേശ്വരി ആലയം</v>
      </c>
      <c r="K18" s="12" t="s">
        <v>104</v>
      </c>
      <c r="L18" s="10" t="str">
        <f>IFERROR(__xludf.DUMMYFUNCTION("GOOGLETRANSLATE(K18,""en"",""te"")"),"ఈ ఆలయం దుర్గాదేవి యొక్క శక్తివంతమైన రూపం అయిన చాముండేశ్వరి దేవి కి అంకితం చేయబడింది. ధైర్యం మరియు దైవిక ఆశీర్వాదం కోరుకునే భక్తులు దీనిని పూజిస్తారు. శ్రీశైలం ప్రాంతంలో ఈ ఆలయం మతపరమైన ప్రాముఖ్యతను కలిగి ఉంది.")</f>
        <v>ఈ ఆలయం దుర్గాదేవి యొక్క శక్తివంతమైన రూపం అయిన చాముండేశ్వరి దేవి కి అంకితం చేయబడింది. ధైర్యం మరియు దైవిక ఆశీర్వాదం కోరుకునే భక్తులు దీనిని పూజిస్తారు. శ్రీశైలం ప్రాంతంలో ఈ ఆలయం మతపరమైన ప్రాముఖ్యతను కలిగి ఉంది.</v>
      </c>
      <c r="M18" s="10" t="str">
        <f>IFERROR(__xludf.DUMMYFUNCTION("GOOGLETRANSLATE(K18,""en"",""hi"")"),"यह मंदिर देवी चामुंडेश्वरी को समर्पित है, जो दुर्गा का एक शक्तिशाली रूप हैं। यहां भक्त साहस और दिव्य आशीर्वाद की कामना से पूजा करते हैं। श्रीशैलम क्षेत्र में इस मंदिर का धार्मिक महत्व है।")</f>
        <v>यह मंदिर देवी चामुंडेश्वरी को समर्पित है, जो दुर्गा का एक शक्तिशाली रूप हैं। यहां भक्त साहस और दिव्य आशीर्वाद की कामना से पूजा करते हैं। श्रीशैलम क्षेत्र में इस मंदिर का धार्मिक महत्व है।</v>
      </c>
      <c r="N18" s="10" t="str">
        <f>IFERROR(__xludf.DUMMYFUNCTION("GOOGLETRANSLATE(K18,""en"",""ta"")"),"இந்த கோயில் துர்க்கையின் சக்திவாய்ந்த வடிவமான சாமுண்டீஸ்வரி தேவிக்கு அர்ப்பணிக்கப்பட்டுள்ளது. இது தைரியத்தையும் தெய்வீக ஆசீர்வாதத்தையும் விரும்பும் பக்தர்களால் வழிபடப்படுகிறது. ஸ்ரீசைலம் பகுதியில் இந்த கோயில் மத முக்கியத்துவம் வாய்ந்தது.")</f>
        <v>இந்த கோயில் துர்க்கையின் சக்திவாய்ந்த வடிவமான சாமுண்டீஸ்வரி தேவிக்கு அர்ப்பணிக்கப்பட்டுள்ளது. இது தைரியத்தையும் தெய்வீக ஆசீர்வாதத்தையும் விரும்பும் பக்தர்களால் வழிபடப்படுகிறது. ஸ்ரீசைலம் பகுதியில் இந்த கோயில் மத முக்கியத்துவம் வாய்ந்தது.</v>
      </c>
      <c r="O18" s="10" t="str">
        <f>IFERROR(__xludf.DUMMYFUNCTION("GOOGLETRANSLATE(K18,""en"",""kn"")"),"ಈ ದೇವಾಲಯವು ದುರ್ಗಾದೇವಿಯ ಶಕ್ತಿಶಾಲಿ ರೂಪವಾದ ಚಾಮುಂಡೇಶ್ವರಿಗೆ ಸಮರ್ಪಿತವಾಗಿದೆ. ಧೈರ್ಯ ಮತ್ತು ದೈವಿಕ ಆಶೀರ್ವಾದವನ್ನು ಬಯಸುವ ಭಕ್ತರು ಇದನ್ನು ಪೂಜಿಸುತ್ತಾರೆ. ಶ್ರೀಶೈಲಂ ಪ್ರದೇಶದಲ್ಲಿ ಈ ದೇವಾಲಯವು ಧಾರ್ಮಿಕ ಮಹತ್ವವನ್ನು ಹೊಂದಿದೆ.")</f>
        <v>ಈ ದೇವಾಲಯವು ದುರ್ಗಾದೇವಿಯ ಶಕ್ತಿಶಾಲಿ ರೂಪವಾದ ಚಾಮುಂಡೇಶ್ವರಿಗೆ ಸಮರ್ಪಿತವಾಗಿದೆ. ಧೈರ್ಯ ಮತ್ತು ದೈವಿಕ ಆಶೀರ್ವಾದವನ್ನು ಬಯಸುವ ಭಕ್ತರು ಇದನ್ನು ಪೂಜಿಸುತ್ತಾರೆ. ಶ್ರೀಶೈಲಂ ಪ್ರದೇಶದಲ್ಲಿ ಈ ದೇವಾಲಯವು ಧಾರ್ಮಿಕ ಮಹತ್ವವನ್ನು ಹೊಂದಿದೆ.</v>
      </c>
      <c r="P18" s="10" t="str">
        <f>IFERROR(__xludf.DUMMYFUNCTION("GOOGLETRANSLATE(K18,""en"",""ml"")"),"ദുർഗ്ഗയുടെ ശക്തമായ രൂപമായ ചാമുണ്ഡേശ്വരി ദേവിക്ക് സമർപ്പിച്ചിരിക്കുന്ന ക്ഷേത്രമാണിത്. ധൈര്യവും ദിവ്യാനുഗ്രഹവും തേടുന്ന ഭക്തർ ഇതിനെ ആരാധിക്കുന്നു. ശ്രീശൈലം മേഖലയിൽ മതപരമായ പ്രാധാന്യമുള്ള ക്ഷേത്രമാണിത്.")</f>
        <v>ദുർഗ്ഗയുടെ ശക്തമായ രൂപമായ ചാമുണ്ഡേശ്വരി ദേവിക്ക് സമർപ്പിച്ചിരിക്കുന്ന ക്ഷേത്രമാണിത്. ധൈര്യവും ദിവ്യാനുഗ്രഹവും തേടുന്ന ഭക്തർ ഇതിനെ ആരാധിക്കുന്നു. ശ്രീശൈലം മേഖലയിൽ മതപരമായ പ്രാധാന്യമുള്ള ക്ഷേത്രമാണിത്.</v>
      </c>
    </row>
    <row r="19">
      <c r="A19" s="6">
        <f t="shared" si="1"/>
        <v>18</v>
      </c>
      <c r="B19" s="6" t="s">
        <v>105</v>
      </c>
      <c r="C19" s="6">
        <v>16.0790163</v>
      </c>
      <c r="D19" s="6">
        <v>78.8624216</v>
      </c>
      <c r="E19" s="5" t="s">
        <v>24</v>
      </c>
      <c r="F19" s="11" t="str">
        <f>IFERROR(__xludf.DUMMYFUNCTION("GOOGLETRANSLATE(B19,""en"",""te"")"),"పంచ ముఖ శివాలయం")</f>
        <v>పంచ ముఖ శివాలయం</v>
      </c>
      <c r="G19" s="10" t="str">
        <f>IFERROR(__xludf.DUMMYFUNCTION("GOOGLETRANSLATE(B19,""en"",""hi"")"),"पंच मुख शिव मंदिर")</f>
        <v>पंच मुख शिव मंदिर</v>
      </c>
      <c r="H19" s="10" t="str">
        <f>IFERROR(__xludf.DUMMYFUNCTION("GOOGLETRANSLATE(B19,""en"",""ta"")"),"பஞ்ச முக சிவன் கோயில்")</f>
        <v>பஞ்ச முக சிவன் கோயில்</v>
      </c>
      <c r="I19" s="10" t="str">
        <f>IFERROR(__xludf.DUMMYFUNCTION("GOOGLETRANSLATE(B19,""en"",""kn"")"),"ಪಂಚಮುಖ ಶಿವ ದೇವಾಲಯ")</f>
        <v>ಪಂಚಮುಖ ಶಿವ ದೇವಾಲಯ</v>
      </c>
      <c r="J19" s="10" t="str">
        <f>IFERROR(__xludf.DUMMYFUNCTION("GOOGLETRANSLATE(B19,""en"",""ml"")"),"പഞ്ചമുഖ ശിവ ക്ഷേത്രം")</f>
        <v>പഞ്ചമുഖ ശിവ ക്ഷേത്രം</v>
      </c>
      <c r="K19" s="12" t="s">
        <v>106</v>
      </c>
      <c r="L19" s="10" t="str">
        <f>IFERROR(__xludf.DUMMYFUNCTION("GOOGLETRANSLATE(K19,""en"",""te"")"),"ఈ శివాలయంలో శివుని యొక్క వివిధ కోణాలను సూచించే ఐదు ముఖాల శివలింగం ఉంది. ఇది శ్రీశైలంలో ఆధ్యాత్మికంగా ముఖ్యమైన పుణ్యక్షేత్రం. భక్తులు శాంతి మరియు దైవిక కృప కోసం సందర్శిస్తారు.")</f>
        <v>ఈ శివాలయంలో శివుని యొక్క వివిధ కోణాలను సూచించే ఐదు ముఖాల శివలింగం ఉంది. ఇది శ్రీశైలంలో ఆధ్యాత్మికంగా ముఖ్యమైన పుణ్యక్షేత్రం. భక్తులు శాంతి మరియు దైవిక కృప కోసం సందర్శిస్తారు.</v>
      </c>
      <c r="M19" s="10" t="str">
        <f>IFERROR(__xludf.DUMMYFUNCTION("GOOGLETRANSLATE(K19,""en"",""hi"")"),"इस शिव मंदिर में भगवान शिव के विभिन्न रूपों का प्रतीक पांच मुखों वाला शिवलिंग स्थापित है। श्रीशैलम में स्थित यह एक आध्यात्मिक रूप से महत्वपूर्ण तीर्थस्थल है। भक्त शांति और दिव्य कृपा की प्राप्ति के लिए यहां दर्शन करने आते हैं।")</f>
        <v>इस शिव मंदिर में भगवान शिव के विभिन्न रूपों का प्रतीक पांच मुखों वाला शिवलिंग स्थापित है। श्रीशैलम में स्थित यह एक आध्यात्मिक रूप से महत्वपूर्ण तीर्थस्थल है। भक्त शांति और दिव्य कृपा की प्राप्ति के लिए यहां दर्शन करने आते हैं।</v>
      </c>
      <c r="N19" s="10" t="str">
        <f>IFERROR(__xludf.DUMMYFUNCTION("GOOGLETRANSLATE(K19,""en"",""ta"")"),"இந்த சிவன் கோவிலில் ஐந்து முகம் கொண்ட சிவலிங்கம் உள்ளது, இது சிவபெருமானின் பல்வேறு அம்சங்களைக் குறிக்கிறது. இது ஸ்ரீசைலத்தில் உள்ள ஒரு ஆன்மீக முக்கியத்துவம் வாய்ந்த கோவிலாகும். பக்தர்கள் அமைதி மற்றும் தெய்வீக அருளுக்காக வருகை தருகின்றனர்.")</f>
        <v>இந்த சிவன் கோவிலில் ஐந்து முகம் கொண்ட சிவலிங்கம் உள்ளது, இது சிவபெருமானின் பல்வேறு அம்சங்களைக் குறிக்கிறது. இது ஸ்ரீசைலத்தில் உள்ள ஒரு ஆன்மீக முக்கியத்துவம் வாய்ந்த கோவிலாகும். பக்தர்கள் அமைதி மற்றும் தெய்வீக அருளுக்காக வருகை தருகின்றனர்.</v>
      </c>
      <c r="O19" s="10" t="str">
        <f>IFERROR(__xludf.DUMMYFUNCTION("GOOGLETRANSLATE(K19,""en"",""kn"")"),"ಈ ಶಿವ ದೇವಾಲಯವು ಶಿವನ ವಿವಿಧ ಅಂಶಗಳನ್ನು ಸಂಕೇತಿಸುವ ಐದು ಮುಖದ ಶಿವಲಿಂಗವನ್ನು ಹೊಂದಿದೆ. ಇದು ಶ್ರೀಶೈಲಂನಲ್ಲಿರುವ ಆಧ್ಯಾತ್ಮಿಕವಾಗಿ ಮಹತ್ವದ ದೇವಾಲಯವಾಗಿದೆ. ಭಕ್ತರು ಶಾಂತಿ ಮತ್ತು ದೈವಿಕ ಅನುಗ್ರಹಕ್ಕಾಗಿ ಭೇಟಿ ನೀಡುತ್ತಾರೆ.")</f>
        <v>ಈ ಶಿವ ದೇವಾಲಯವು ಶಿವನ ವಿವಿಧ ಅಂಶಗಳನ್ನು ಸಂಕೇತಿಸುವ ಐದು ಮುಖದ ಶಿವಲಿಂಗವನ್ನು ಹೊಂದಿದೆ. ಇದು ಶ್ರೀಶೈಲಂನಲ್ಲಿರುವ ಆಧ್ಯಾತ್ಮಿಕವಾಗಿ ಮಹತ್ವದ ದೇವಾಲಯವಾಗಿದೆ. ಭಕ್ತರು ಶಾಂತಿ ಮತ್ತು ದೈವಿಕ ಅನುಗ್ರಹಕ್ಕಾಗಿ ಭೇಟಿ ನೀಡುತ್ತಾರೆ.</v>
      </c>
      <c r="P19" s="10" t="str">
        <f>IFERROR(__xludf.DUMMYFUNCTION("GOOGLETRANSLATE(K19,""en"",""ml"")"),"ശിവന്റെ വിവിധ വശങ്ങളെ പ്രതീകപ്പെടുത്തുന്ന അഞ്ച് മുഖങ്ങളുള്ള ഒരു ശിവലിംഗമാണ് ഈ ശിവക്ഷേത്രത്തിലുള്ളത്. ശ്രീശൈലത്തിലെ ആത്മീയമായി പ്രാധാന്യമുള്ള ഒരു ക്ഷേത്രമാണിത്. സമാധാനത്തിനും ദിവ്യകാരുണ്യത്തിനും വേണ്ടി ഭക്തർ ഇവിടെ എത്തുന്നു.")</f>
        <v>ശിവന്റെ വിവിധ വശങ്ങളെ പ്രതീകപ്പെടുത്തുന്ന അഞ്ച് മുഖങ്ങളുള്ള ഒരു ശിവലിംഗമാണ് ഈ ശിവക്ഷേത്രത്തിലുള്ളത്. ശ്രീശൈലത്തിലെ ആത്മീയമായി പ്രാധാന്യമുള്ള ഒരു ക്ഷേത്രമാണിത്. സമാധാനത്തിനും ദിവ്യകാരുണ്യത്തിനും വേണ്ടി ഭക്തർ ഇവിടെ എത്തുന്നു.</v>
      </c>
    </row>
    <row r="20">
      <c r="A20" s="6">
        <f t="shared" si="1"/>
        <v>19</v>
      </c>
      <c r="B20" s="6" t="s">
        <v>107</v>
      </c>
      <c r="C20" s="6">
        <v>16.0776102</v>
      </c>
      <c r="D20" s="6">
        <v>78.8674097</v>
      </c>
      <c r="E20" s="5" t="s">
        <v>24</v>
      </c>
      <c r="F20" s="11" t="str">
        <f>IFERROR(__xludf.DUMMYFUNCTION("GOOGLETRANSLATE(B20,""en"",""te"")"),"SGS అవధూత దత్త పీఠం")</f>
        <v>SGS అవధూత దత్త పీఠం</v>
      </c>
      <c r="G20" s="10" t="str">
        <f>IFERROR(__xludf.DUMMYFUNCTION("GOOGLETRANSLATE(B20,""en"",""hi"")"),"एसजीएस अवधूत दत्ता पीठम")</f>
        <v>एसजीएस अवधूत दत्ता पीठम</v>
      </c>
      <c r="H20" s="10" t="str">
        <f>IFERROR(__xludf.DUMMYFUNCTION("GOOGLETRANSLATE(B20,""en"",""ta"")"),"எஸ்ஜிஎஸ் அவதூத தத்த பீடம்")</f>
        <v>எஸ்ஜிஎஸ் அவதூத தத்த பீடம்</v>
      </c>
      <c r="I20" s="10" t="str">
        <f>IFERROR(__xludf.DUMMYFUNCTION("GOOGLETRANSLATE(B20,""en"",""kn"")"),"ಎಸ್‌ಜಿಎಸ್ ಅವಧೂತ ದತ್ತ ಪೀಠ")</f>
        <v>ಎಸ್‌ಜಿಎಸ್ ಅವಧೂತ ದತ್ತ ಪೀಠ</v>
      </c>
      <c r="J20" s="10" t="str">
        <f>IFERROR(__xludf.DUMMYFUNCTION("GOOGLETRANSLATE(B20,""en"",""ml"")"),"എസ്‌ജി‌എസ് അവധൂത ദത്ത പീഠം")</f>
        <v>എസ്‌ജി‌എസ് അവധൂത ദത്ത പീഠം</v>
      </c>
      <c r="K20" s="12" t="s">
        <v>108</v>
      </c>
      <c r="L20" s="10" t="str">
        <f>IFERROR(__xludf.DUMMYFUNCTION("GOOGLETRANSLATE(K20,""en"",""te"")"),"శ్రీశైలంలో ఉన్న దత్త సంప్రదాయంతో ముడిపడి ఉన్న ఆధ్యాత్మిక కేంద్రం. ఇది మతపరమైన ప్రసంగాలు, ధ్యానం మరియు ప్రార్థనలకు ప్రసిద్ధి చెందింది. భక్తులు ఆధ్యాత్మిక మార్గదర్శకత్వం మరియు ఆశీర్వాదాల కోసం సందర్శిస్తారు.")</f>
        <v>శ్రీశైలంలో ఉన్న దత్త సంప్రదాయంతో ముడిపడి ఉన్న ఆధ్యాత్మిక కేంద్రం. ఇది మతపరమైన ప్రసంగాలు, ధ్యానం మరియు ప్రార్థనలకు ప్రసిద్ధి చెందింది. భక్తులు ఆధ్యాత్మిక మార్గదర్శకత్వం మరియు ఆశీర్వాదాల కోసం సందర్శిస్తారు.</v>
      </c>
      <c r="M20" s="10" t="str">
        <f>IFERROR(__xludf.DUMMYFUNCTION("GOOGLETRANSLATE(K20,""en"",""hi"")"),"श्रीशैलम में स्थित दत्ता परंपरा से जुड़ा एक आध्यात्मिक केंद्र। यह धार्मिक प्रवचनों, ध्यान और प्रार्थनाओं के लिए प्रसिद्ध है। श्रद्धालु आध्यात्मिक मार्गदर्शन और आशीर्वाद प्राप्त करने के लिए यहां आते हैं।")</f>
        <v>श्रीशैलम में स्थित दत्ता परंपरा से जुड़ा एक आध्यात्मिक केंद्र। यह धार्मिक प्रवचनों, ध्यान और प्रार्थनाओं के लिए प्रसिद्ध है। श्रद्धालु आध्यात्मिक मार्गदर्शन और आशीर्वाद प्राप्त करने के लिए यहां आते हैं।</v>
      </c>
      <c r="N20" s="10" t="str">
        <f>IFERROR(__xludf.DUMMYFUNCTION("GOOGLETRANSLATE(K20,""en"",""ta"")"),"ஸ்ரீசைலத்தில் அமைந்துள்ள தத்த மரபுடன் தொடர்புடைய ஆன்மீக மையம். இது மதச் சொற்பொழிவுகள், தியானம் மற்றும் பிரார்த்தனைகளுக்குப் பெயர் பெற்றது. ஆன்மீக வழிகாட்டுதல் மற்றும் ஆசீர்வாதங்களைப் பெற பக்தர்கள் இங்கு வருகிறார்கள்.")</f>
        <v>ஸ்ரீசைலத்தில் அமைந்துள்ள தத்த மரபுடன் தொடர்புடைய ஆன்மீக மையம். இது மதச் சொற்பொழிவுகள், தியானம் மற்றும் பிரார்த்தனைகளுக்குப் பெயர் பெற்றது. ஆன்மீக வழிகாட்டுதல் மற்றும் ஆசீர்வாதங்களைப் பெற பக்தர்கள் இங்கு வருகிறார்கள்.</v>
      </c>
      <c r="O20" s="10" t="str">
        <f>IFERROR(__xludf.DUMMYFUNCTION("GOOGLETRANSLATE(K20,""en"",""kn"")"),"ಶ್ರೀಶೈಲಂನಲ್ಲಿರುವ ದತ್ತ ಸಂಪ್ರದಾಯಕ್ಕೆ ಸಂಬಂಧಿಸಿದ ಆಧ್ಯಾತ್ಮಿಕ ಕೇಂದ್ರ. ಇದು ಧಾರ್ಮಿಕ ಪ್ರವಚನಗಳು, ಧ್ಯಾನ ಮತ್ತು ಪ್ರಾರ್ಥನೆಗಳಿಗೆ ಹೆಸರುವಾಸಿಯಾಗಿದೆ. ಆಧ್ಯಾತ್ಮಿಕ ಮಾರ್ಗದರ್ಶನ ಮತ್ತು ಆಶೀರ್ವಾದಗಳನ್ನು ಪಡೆಯಲು ಭಕ್ತರು ಭೇಟಿ ನೀಡುತ್ತಾರೆ.")</f>
        <v>ಶ್ರೀಶೈಲಂನಲ್ಲಿರುವ ದತ್ತ ಸಂಪ್ರದಾಯಕ್ಕೆ ಸಂಬಂಧಿಸಿದ ಆಧ್ಯಾತ್ಮಿಕ ಕೇಂದ್ರ. ಇದು ಧಾರ್ಮಿಕ ಪ್ರವಚನಗಳು, ಧ್ಯಾನ ಮತ್ತು ಪ್ರಾರ್ಥನೆಗಳಿಗೆ ಹೆಸರುವಾಸಿಯಾಗಿದೆ. ಆಧ್ಯಾತ್ಮಿಕ ಮಾರ್ಗದರ್ಶನ ಮತ್ತು ಆಶೀರ್ವಾದಗಳನ್ನು ಪಡೆಯಲು ಭಕ್ತರು ಭೇಟಿ ನೀಡುತ್ತಾರೆ.</v>
      </c>
      <c r="P20" s="10" t="str">
        <f>IFERROR(__xludf.DUMMYFUNCTION("GOOGLETRANSLATE(K20,""en"",""ml"")"),"ശ്രീശൈലത്ത് സ്ഥിതി ചെയ്യുന്ന ദത്ത പാരമ്പര്യവുമായി ബന്ധപ്പെട്ട ഒരു ആത്മീയ കേന്ദ്രം. മതപരമായ പ്രഭാഷണങ്ങൾ, ധ്യാനം, പ്രാർത്ഥനകൾ എന്നിവയ്ക്ക് പേരുകേട്ട സ്ഥലമാണിത്. ആത്മീയ മാർഗനിർദേശവും അനുഗ്രഹവും തേടി ഭക്തർ ഇവിടെ സന്ദർശിക്കുന്നു.")</f>
        <v>ശ്രീശൈലത്ത് സ്ഥിതി ചെയ്യുന്ന ദത്ത പാരമ്പര്യവുമായി ബന്ധപ്പെട്ട ഒരു ആത്മീയ കേന്ദ്രം. മതപരമായ പ്രഭാഷണങ്ങൾ, ധ്യാനം, പ്രാർത്ഥനകൾ എന്നിവയ്ക്ക് പേരുകേട്ട സ്ഥലമാണിത്. ആത്മീയ മാർഗനിർദേശവും അനുഗ്രഹവും തേടി ഭക്തർ ഇവിടെ സന്ദർശിക്കുന്നു.</v>
      </c>
    </row>
    <row r="21">
      <c r="A21" s="6">
        <f t="shared" si="1"/>
        <v>20</v>
      </c>
      <c r="B21" s="6" t="s">
        <v>109</v>
      </c>
      <c r="C21" s="6">
        <v>16.0738731</v>
      </c>
      <c r="D21" s="6">
        <v>78.8676675</v>
      </c>
      <c r="E21" s="5" t="s">
        <v>24</v>
      </c>
      <c r="F21" s="11" t="str">
        <f>IFERROR(__xludf.DUMMYFUNCTION("GOOGLETRANSLATE(B21,""en"",""te"")"),"శ్రీశైలం పండితారాధ్య పీఠం")</f>
        <v>శ్రీశైలం పండితారాధ్య పీఠం</v>
      </c>
      <c r="G21" s="10" t="str">
        <f>IFERROR(__xludf.DUMMYFUNCTION("GOOGLETRANSLATE(B21,""en"",""hi"")"),"श्रीशैलम पंडिताराध्य पीठम")</f>
        <v>श्रीशैलम पंडिताराध्य पीठम</v>
      </c>
      <c r="H21" s="10" t="str">
        <f>IFERROR(__xludf.DUMMYFUNCTION("GOOGLETRANSLATE(B21,""en"",""ta"")"),"ஸ்ரீசைலம் பண்டிதாராத்ய பீடம்")</f>
        <v>ஸ்ரீசைலம் பண்டிதாராத்ய பீடம்</v>
      </c>
      <c r="I21" s="10" t="str">
        <f>IFERROR(__xludf.DUMMYFUNCTION("GOOGLETRANSLATE(B21,""en"",""kn"")"),"ಶ್ರೀಶೈಲಂ ಪಂಡಿತಾರಾಧ್ಯ ಪೀಠಮ್")</f>
        <v>ಶ್ರೀಶೈಲಂ ಪಂಡಿತಾರಾಧ್ಯ ಪೀಠಮ್</v>
      </c>
      <c r="J21" s="10" t="str">
        <f>IFERROR(__xludf.DUMMYFUNCTION("GOOGLETRANSLATE(B21,""en"",""ml"")"),"ശ്രീശൈലം പണ്ഡിതാരാധ്യപീഠം")</f>
        <v>ശ്രീശൈലം പണ്ഡിതാരാധ്യപീഠം</v>
      </c>
      <c r="K21" s="12" t="s">
        <v>110</v>
      </c>
      <c r="L21" s="10" t="str">
        <f>IFERROR(__xludf.DUMMYFUNCTION("GOOGLETRANSLATE(K21,""en"",""te"")"),"ఈ పీఠం శ్రీశైలం యొక్క శైవ పండితులతో మరియు మత సంప్రదాయాలతో ముడిపడి ఉంది. ఇది ఆరాధన మరియు ఆధ్యాత్మిక అభ్యాసానికి కేంద్రంగా పనిచేస్తుంది. భక్తులు మతపరమైన ఆచారాలు మరియు మార్గదర్శకత్వం కోసం సందర్శిస్తారు.")</f>
        <v>ఈ పీఠం శ్రీశైలం యొక్క శైవ పండితులతో మరియు మత సంప్రదాయాలతో ముడిపడి ఉంది. ఇది ఆరాధన మరియు ఆధ్యాత్మిక అభ్యాసానికి కేంద్రంగా పనిచేస్తుంది. భక్తులు మతపరమైన ఆచారాలు మరియు మార్గదర్శకత్వం కోసం సందర్శిస్తారు.</v>
      </c>
      <c r="M21" s="10" t="str">
        <f>IFERROR(__xludf.DUMMYFUNCTION("GOOGLETRANSLATE(K21,""en"",""hi"")"),"यह पीठम श्रीशैलम के शैव विद्वानों और धार्मिक परंपराओं से जुड़ा हुआ है। यह पूजा और आध्यात्मिक शिक्षा का केंद्र है। श्रद्धालु धार्मिक अनुष्ठानों और मार्गदर्शन के लिए यहां आते हैं।")</f>
        <v>यह पीठम श्रीशैलम के शैव विद्वानों और धार्मिक परंपराओं से जुड़ा हुआ है। यह पूजा और आध्यात्मिक शिक्षा का केंद्र है। श्रद्धालु धार्मिक अनुष्ठानों और मार्गदर्शन के लिए यहां आते हैं।</v>
      </c>
      <c r="N21" s="10" t="str">
        <f>IFERROR(__xludf.DUMMYFUNCTION("GOOGLETRANSLATE(K21,""en"",""ta"")"),"இந்த பீடம் ஸ்ரீசைலத்தின் சைவ அறிஞர்களுடனும் மத மரபுகளுடனும் தொடர்புடையது. இது வழிபாடு மற்றும் ஆன்மீக கற்றலுக்கான மையமாக செயல்படுகிறது. பக்தர்கள் மத அனுசரிப்புகள் மற்றும் வழிகாட்டுதலுக்காக வருகை தருகின்றனர்.")</f>
        <v>இந்த பீடம் ஸ்ரீசைலத்தின் சைவ அறிஞர்களுடனும் மத மரபுகளுடனும் தொடர்புடையது. இது வழிபாடு மற்றும் ஆன்மீக கற்றலுக்கான மையமாக செயல்படுகிறது. பக்தர்கள் மத அனுசரிப்புகள் மற்றும் வழிகாட்டுதலுக்காக வருகை தருகின்றனர்.</v>
      </c>
      <c r="O21" s="10" t="str">
        <f>IFERROR(__xludf.DUMMYFUNCTION("GOOGLETRANSLATE(K21,""en"",""kn"")"),"ಈ ಪೀಠವು ಶ್ರೀಶೈಲದ ಶೈವ ವಿದ್ವಾಂಸರು ಮತ್ತು ಧಾರ್ಮಿಕ ಸಂಪ್ರದಾಯಗಳೊಂದಿಗೆ ಸಂಬಂಧ ಹೊಂದಿದೆ. ಇದು ಪೂಜೆ ಮತ್ತು ಆಧ್ಯಾತ್ಮಿಕ ಕಲಿಕೆಯ ಕೇಂದ್ರವಾಗಿ ಕಾರ್ಯನಿರ್ವಹಿಸುತ್ತದೆ. ಭಕ್ತರು ಧಾರ್ಮಿಕ ಆಚರಣೆಗಳು ಮತ್ತು ಮಾರ್ಗದರ್ಶನಕ್ಕಾಗಿ ಭೇಟಿ ನೀಡುತ್ತಾರೆ.")</f>
        <v>ಈ ಪೀಠವು ಶ್ರೀಶೈಲದ ಶೈವ ವಿದ್ವಾಂಸರು ಮತ್ತು ಧಾರ್ಮಿಕ ಸಂಪ್ರದಾಯಗಳೊಂದಿಗೆ ಸಂಬಂಧ ಹೊಂದಿದೆ. ಇದು ಪೂಜೆ ಮತ್ತು ಆಧ್ಯಾತ್ಮಿಕ ಕಲಿಕೆಯ ಕೇಂದ್ರವಾಗಿ ಕಾರ್ಯನಿರ್ವಹಿಸುತ್ತದೆ. ಭಕ್ತರು ಧಾರ್ಮಿಕ ಆಚರಣೆಗಳು ಮತ್ತು ಮಾರ್ಗದರ್ಶನಕ್ಕಾಗಿ ಭೇಟಿ ನೀಡುತ್ತಾರೆ.</v>
      </c>
      <c r="P21" s="10" t="str">
        <f>IFERROR(__xludf.DUMMYFUNCTION("GOOGLETRANSLATE(K21,""en"",""ml"")"),"ശ്രീശൈലത്തിലെ ശൈവ പണ്ഡിതരുമായും മതപാരമ്പര്യവുമായും ഈ പീഠം ബന്ധപ്പെട്ടിരിക്കുന്നു. ആരാധനയ്ക്കും ആത്മീയ പഠനത്തിനുമുള്ള ഒരു കേന്ദ്രമായി ഇത് പ്രവർത്തിക്കുന്നു. മതപരമായ ആചാരങ്ങൾക്കും മാർഗനിർദേശത്തിനുമായി ഭക്തർ ഇവിടെയെത്തുന്നു.")</f>
        <v>ശ്രീശൈലത്തിലെ ശൈവ പണ്ഡിതരുമായും മതപാരമ്പര്യവുമായും ഈ പീഠം ബന്ധപ്പെട്ടിരിക്കുന്നു. ആരാധനയ്ക്കും ആത്മീയ പഠനത്തിനുമുള്ള ഒരു കേന്ദ്രമായി ഇത് പ്രവർത്തിക്കുന്നു. മതപരമായ ആചാരങ്ങൾക്കും മാർഗനിർദേശത്തിനുമായി ഭക്തർ ഇവിടെയെത്തുന്നു.</v>
      </c>
    </row>
    <row r="22">
      <c r="A22" s="6">
        <f t="shared" si="1"/>
        <v>21</v>
      </c>
      <c r="B22" s="6" t="s">
        <v>111</v>
      </c>
      <c r="C22" s="6">
        <v>16.0644968</v>
      </c>
      <c r="D22" s="6">
        <v>78.8776929</v>
      </c>
      <c r="E22" s="5" t="s">
        <v>24</v>
      </c>
      <c r="F22" s="20" t="s">
        <v>112</v>
      </c>
      <c r="G22" s="8" t="s">
        <v>113</v>
      </c>
      <c r="H22" s="8" t="s">
        <v>114</v>
      </c>
      <c r="I22" s="8" t="s">
        <v>115</v>
      </c>
      <c r="J22" s="8" t="s">
        <v>116</v>
      </c>
      <c r="K22" s="12" t="s">
        <v>117</v>
      </c>
      <c r="L22" s="10" t="str">
        <f>IFERROR(__xludf.DUMMYFUNCTION("GOOGLETRANSLATE(K22,""en"",""te"")"),"ఈ ఆలయం స్థానిక శక్తి రూపంగా పూజించబడే మణికేశ్వరి దేవికి అంకితం చేయబడింది. శ్రీశైలంలో భక్తులకు ఇది ఆధ్యాత్మిక ప్రాముఖ్యతను కలిగి ఉంది. సందర్శకులు శ్రేయస్సు మరియు రక్షణ కోసం ఆశీర్వాదాలను కోరుకుంటారు.")</f>
        <v>ఈ ఆలయం స్థానిక శక్తి రూపంగా పూజించబడే మణికేశ్వరి దేవికి అంకితం చేయబడింది. శ్రీశైలంలో భక్తులకు ఇది ఆధ్యాత్మిక ప్రాముఖ్యతను కలిగి ఉంది. సందర్శకులు శ్రేయస్సు మరియు రక్షణ కోసం ఆశీర్వాదాలను కోరుకుంటారు.</v>
      </c>
      <c r="M22" s="10" t="str">
        <f>IFERROR(__xludf.DUMMYFUNCTION("GOOGLETRANSLATE(K22,""en"",""hi"")"),"यह मंदिर देवी मानिकेश्वरी को समर्पित है, जिनकी पूजा शक्ति के स्थानीय रूप में की जाती है। श्रीशैलम में भक्तों के लिए इसका आध्यात्मिक महत्व है। आगंतुक समृद्धि और सुरक्षा के लिए आशीर्वाद प्राप्त करते हैं।")</f>
        <v>यह मंदिर देवी मानिकेश्वरी को समर्पित है, जिनकी पूजा शक्ति के स्थानीय रूप में की जाती है। श्रीशैलम में भक्तों के लिए इसका आध्यात्मिक महत्व है। आगंतुक समृद्धि और सुरक्षा के लिए आशीर्वाद प्राप्त करते हैं।</v>
      </c>
      <c r="N22" s="10" t="str">
        <f>IFERROR(__xludf.DUMMYFUNCTION("GOOGLETRANSLATE(K22,""en"",""ta"")"),"இந்த கோயில் மணிகேஸ்வரி தேவிக்கு அர்ப்பணிக்கப்பட்டுள்ளது, அவர் உள்ளூர் சக்தியின் வடிவமாக வணங்கப்படுகிறார். இது ஸ்ரீசைலத்தில் பக்தர்களுக்கு ஆன்மீக முக்கியத்துவம் வாய்ந்தது. பார்வையாளர்கள் செழிப்பு மற்றும் பாதுகாப்பிற்காக ஆசீர்வாதங்களை நாடுகின்றனர்.")</f>
        <v>இந்த கோயில் மணிகேஸ்வரி தேவிக்கு அர்ப்பணிக்கப்பட்டுள்ளது, அவர் உள்ளூர் சக்தியின் வடிவமாக வணங்கப்படுகிறார். இது ஸ்ரீசைலத்தில் பக்தர்களுக்கு ஆன்மீக முக்கியத்துவம் வாய்ந்தது. பார்வையாளர்கள் செழிப்பு மற்றும் பாதுகாப்பிற்காக ஆசீர்வாதங்களை நாடுகின்றனர்.</v>
      </c>
      <c r="O22" s="10" t="str">
        <f>IFERROR(__xludf.DUMMYFUNCTION("GOOGLETRANSLATE(K22,""en"",""kn"")"),"ಈ ದೇವಾಲಯವು ಮಾಣಿಕೇಶ್ವರಿ ದೇವಿಗೆ ಸಮರ್ಪಿತವಾಗಿದ್ದು, ಸ್ಥಳೀಯ ಶಕ್ತಿಯ ರೂಪವಾಗಿ ಪೂಜಿಸಲಾಗುತ್ತದೆ. ಶ್ರೀಶೈಲಂನಲ್ಲಿ ಭಕ್ತರಿಗೆ ಇದು ಆಧ್ಯಾತ್ಮಿಕ ಮಹತ್ವವನ್ನು ಹೊಂದಿದೆ. ಸಂದರ್ಶಕರು ಸಮೃದ್ಧಿ ಮತ್ತು ರಕ್ಷಣೆಗಾಗಿ ಆಶೀರ್ವಾದವನ್ನು ಬಯಸುತ್ತಾರೆ.")</f>
        <v>ಈ ದೇವಾಲಯವು ಮಾಣಿಕೇಶ್ವರಿ ದೇವಿಗೆ ಸಮರ್ಪಿತವಾಗಿದ್ದು, ಸ್ಥಳೀಯ ಶಕ್ತಿಯ ರೂಪವಾಗಿ ಪೂಜಿಸಲಾಗುತ್ತದೆ. ಶ್ರೀಶೈಲಂನಲ್ಲಿ ಭಕ್ತರಿಗೆ ಇದು ಆಧ್ಯಾತ್ಮಿಕ ಮಹತ್ವವನ್ನು ಹೊಂದಿದೆ. ಸಂದರ್ಶಕರು ಸಮೃದ್ಧಿ ಮತ್ತು ರಕ್ಷಣೆಗಾಗಿ ಆಶೀರ್ವಾದವನ್ನು ಬಯಸುತ್ತಾರೆ.</v>
      </c>
      <c r="P22" s="10" t="str">
        <f>IFERROR(__xludf.DUMMYFUNCTION("GOOGLETRANSLATE(K22,""en"",""ml"")"),"ശക്തിയുടെ പ്രാദേശിക രൂപമായി ആരാധിക്കപ്പെടുന്ന മണികേശ്വരി ദേവിക്ക് സമർപ്പിച്ചിരിക്കുന്ന ഈ ക്ഷേത്രം ശ്രീശൈലത്തിലെ ഭക്തർക്ക് ആത്മീയ പ്രാധാന്യമുള്ളതാണ്. സന്ദർശകർ ഐശ്വര്യത്തിനും സംരക്ഷണത്തിനും വേണ്ടി അനുഗ്രഹം തേടുന്നു.")</f>
        <v>ശക്തിയുടെ പ്രാദേശിക രൂപമായി ആരാധിക്കപ്പെടുന്ന മണികേശ്വരി ദേവിക്ക് സമർപ്പിച്ചിരിക്കുന്ന ഈ ക്ഷേത്രം ശ്രീശൈലത്തിലെ ഭക്തർക്ക് ആത്മീയ പ്രാധാന്യമുള്ളതാണ്. സന്ദർശകർ ഐശ്വര്യത്തിനും സംരക്ഷണത്തിനും വേണ്ടി അനുഗ്രഹം തേടുന്നു.</v>
      </c>
    </row>
    <row r="23">
      <c r="A23" s="6">
        <f t="shared" si="1"/>
        <v>22</v>
      </c>
      <c r="B23" s="6" t="s">
        <v>118</v>
      </c>
      <c r="C23" s="6">
        <v>16.0742481</v>
      </c>
      <c r="D23" s="6">
        <v>78.8681524</v>
      </c>
      <c r="E23" s="5" t="s">
        <v>24</v>
      </c>
      <c r="F23" s="11" t="str">
        <f>IFERROR(__xludf.DUMMYFUNCTION("GOOGLETRANSLATE(B23,""en"",""te"")"),"శ్రీశైలం ఆలయం")</f>
        <v>శ్రీశైలం ఆలయం</v>
      </c>
      <c r="G23" s="10" t="str">
        <f>IFERROR(__xludf.DUMMYFUNCTION("GOOGLETRANSLATE(B23,""en"",""hi"")"),"श्रीशैलम मंदिर")</f>
        <v>श्रीशैलम मंदिर</v>
      </c>
      <c r="H23" s="10" t="str">
        <f>IFERROR(__xludf.DUMMYFUNCTION("GOOGLETRANSLATE(B23,""en"",""ta"")"),"ஸ்ரீசைலம் கோயில்")</f>
        <v>ஸ்ரீசைலம் கோயில்</v>
      </c>
      <c r="I23" s="10" t="str">
        <f>IFERROR(__xludf.DUMMYFUNCTION("GOOGLETRANSLATE(B23,""en"",""kn"")"),"ಶ್ರೀಶೈಲಂ ದೇವಸ್ಥಾನ")</f>
        <v>ಶ್ರೀಶೈಲಂ ದೇವಸ್ಥಾನ</v>
      </c>
      <c r="J23" s="10" t="str">
        <f>IFERROR(__xludf.DUMMYFUNCTION("GOOGLETRANSLATE(B23,""en"",""ml"")"),"ശ്രീശൈലം ക്ഷേത്രം")</f>
        <v>ശ്രീശൈലം ക്ഷേത്രം</v>
      </c>
      <c r="K23" s="12" t="s">
        <v>119</v>
      </c>
      <c r="L23" s="10" t="str">
        <f>IFERROR(__xludf.DUMMYFUNCTION("GOOGLETRANSLATE(K23,""en"",""te"")"),"శ్రీశైలం ఆలయం నల్లమల కొండలపై ఉన్న మల్లికార్జున స్వామికి అంకితం చేయబడిన పురాతన పుణ్యక్షేత్రం. ఇది భారతదేశంలోని అత్యంత పవిత్రమైన శివాలయాలలో ఒకటి. ఈ ఆలయం దాని మతపరమైన ప్రాముఖ్యత మరియు నిర్మాణ వారసత్వానికి ప్రసిద్ధి చెందింది.")</f>
        <v>శ్రీశైలం ఆలయం నల్లమల కొండలపై ఉన్న మల్లికార్జున స్వామికి అంకితం చేయబడిన పురాతన పుణ్యక్షేత్రం. ఇది భారతదేశంలోని అత్యంత పవిత్రమైన శివాలయాలలో ఒకటి. ఈ ఆలయం దాని మతపరమైన ప్రాముఖ్యత మరియు నిర్మాణ వారసత్వానికి ప్రసిద్ధి చెందింది.</v>
      </c>
      <c r="M23" s="10" t="str">
        <f>IFERROR(__xludf.DUMMYFUNCTION("GOOGLETRANSLATE(K23,""en"",""hi"")"),"श्रीशैलम मंदिर, नल्लामाला पहाड़ियों पर स्थित भगवान मल्लिकार्जुन को समर्पित एक प्राचीन तीर्थस्थल है। यह भारत के सबसे पवित्र शिव मंदिरों में से एक है। यह मंदिर अपने धार्मिक महत्व और स्थापत्य विरासत के लिए प्रसिद्ध है।")</f>
        <v>श्रीशैलम मंदिर, नल्लामाला पहाड़ियों पर स्थित भगवान मल्लिकार्जुन को समर्पित एक प्राचीन तीर्थस्थल है। यह भारत के सबसे पवित्र शिव मंदिरों में से एक है। यह मंदिर अपने धार्मिक महत्व और स्थापत्य विरासत के लिए प्रसिद्ध है।</v>
      </c>
      <c r="N23" s="10" t="str">
        <f>IFERROR(__xludf.DUMMYFUNCTION("GOOGLETRANSLATE(K23,""en"",""ta"")"),"ஸ்ரீசைலம் கோயில், நல்லமலா மலைகளில் அமைந்துள்ள மல்லிகார்ஜுனருக்கு அர்ப்பணிக்கப்பட்ட ஒரு பழங்காலக் கோயிலாகும். இது இந்தியாவின் மிகவும் புனிதமான சிவன் கோயில்களில் ஒன்றாகும். இந்தக் கோயில் அதன் மத முக்கியத்துவம் மற்றும் கட்டிடக்கலை பாரம்பரியத்திற்காகப் பெயர் "&amp;"பெற்றது.")</f>
        <v>ஸ்ரீசைலம் கோயில், நல்லமலா மலைகளில் அமைந்துள்ள மல்லிகார்ஜுனருக்கு அர்ப்பணிக்கப்பட்ட ஒரு பழங்காலக் கோயிலாகும். இது இந்தியாவின் மிகவும் புனிதமான சிவன் கோயில்களில் ஒன்றாகும். இந்தக் கோயில் அதன் மத முக்கியத்துவம் மற்றும் கட்டிடக்கலை பாரம்பரியத்திற்காகப் பெயர் பெற்றது.</v>
      </c>
      <c r="O23" s="10" t="str">
        <f>IFERROR(__xludf.DUMMYFUNCTION("GOOGLETRANSLATE(K23,""en"",""kn"")"),"ಶ್ರೀಶೈಲಂ ದೇವಾಲಯವು ನಲ್ಲಮಲ ಬೆಟ್ಟಗಳ ಮೇಲಿರುವ ಮಲ್ಲಿಕಾರ್ಜುನ ದೇವರಿಗೆ ಅರ್ಪಿತವಾದ ಪ್ರಾಚೀನ ದೇವಾಲಯವಾಗಿದೆ. ಇದು ಭಾರತದ ಅತ್ಯಂತ ಪವಿತ್ರ ಶಿವ ದೇವಾಲಯಗಳಲ್ಲಿ ಒಂದಾಗಿದೆ. ಈ ದೇವಾಲಯವು ಧಾರ್ಮಿಕ ಮಹತ್ವ ಮತ್ತು ವಾಸ್ತುಶಿಲ್ಪ ಪರಂಪರೆಗೆ ಹೆಸರುವಾಸಿಯಾಗಿದೆ.")</f>
        <v>ಶ್ರೀಶೈಲಂ ದೇವಾಲಯವು ನಲ್ಲಮಲ ಬೆಟ್ಟಗಳ ಮೇಲಿರುವ ಮಲ್ಲಿಕಾರ್ಜುನ ದೇವರಿಗೆ ಅರ್ಪಿತವಾದ ಪ್ರಾಚೀನ ದೇವಾಲಯವಾಗಿದೆ. ಇದು ಭಾರತದ ಅತ್ಯಂತ ಪವಿತ್ರ ಶಿವ ದೇವಾಲಯಗಳಲ್ಲಿ ಒಂದಾಗಿದೆ. ಈ ದೇವಾಲಯವು ಧಾರ್ಮಿಕ ಮಹತ್ವ ಮತ್ತು ವಾಸ್ತುಶಿಲ್ಪ ಪರಂಪರೆಗೆ ಹೆಸರುವಾಸಿಯಾಗಿದೆ.</v>
      </c>
      <c r="P23" s="10" t="str">
        <f>IFERROR(__xludf.DUMMYFUNCTION("GOOGLETRANSLATE(K23,""en"",""ml"")"),"നല്ലമല കുന്നുകളിൽ സ്ഥിതി ചെയ്യുന്ന മല്ലികാർജ്ജുനന് സമർപ്പിച്ചിരിക്കുന്ന ഒരു പുരാതന ക്ഷേത്രമാണ് ശ്രീശൈലം ക്ഷേത്രം. ഇന്ത്യയിലെ ഏറ്റവും പവിത്രമായ ശിവക്ഷേത്രങ്ങളിൽ ഒന്നാണിത്. മതപരമായ പ്രാധാന്യത്തിനും വാസ്തുവിദ്യാ പൈതൃകത്തിനും പേരുകേട്ടതാണ് ഈ ക്ഷേത്രം.")</f>
        <v>നല്ലമല കുന്നുകളിൽ സ്ഥിതി ചെയ്യുന്ന മല്ലികാർജ്ജുനന് സമർപ്പിച്ചിരിക്കുന്ന ഒരു പുരാതന ക്ഷേത്രമാണ് ശ്രീശൈലം ക്ഷേത്രം. ഇന്ത്യയിലെ ഏറ്റവും പവിത്രമായ ശിവക്ഷേത്രങ്ങളിൽ ഒന്നാണിത്. മതപരമായ പ്രാധാന്യത്തിനും വാസ്തുവിദ്യാ പൈതൃകത്തിനും പേരുകേട്ടതാണ് ഈ ക്ഷേത്രം.</v>
      </c>
    </row>
    <row r="24">
      <c r="A24" s="6">
        <f t="shared" si="1"/>
        <v>23</v>
      </c>
      <c r="B24" s="6" t="s">
        <v>120</v>
      </c>
      <c r="C24" s="6">
        <v>16.0804381</v>
      </c>
      <c r="D24" s="6">
        <v>78.8817424</v>
      </c>
      <c r="E24" s="5" t="s">
        <v>24</v>
      </c>
      <c r="F24" s="11" t="str">
        <f>IFERROR(__xludf.DUMMYFUNCTION("GOOGLETRANSLATE(B24,""en"",""te"")"),"పాతాలగంగ, శ్రీశైలం")</f>
        <v>పాతాలగంగ, శ్రీశైలం</v>
      </c>
      <c r="G24" s="10" t="str">
        <f>IFERROR(__xludf.DUMMYFUNCTION("GOOGLETRANSLATE(B24,""en"",""hi"")"),"पथलगंगा, श्रीशैलम")</f>
        <v>पथलगंगा, श्रीशैलम</v>
      </c>
      <c r="H24" s="10" t="str">
        <f>IFERROR(__xludf.DUMMYFUNCTION("GOOGLETRANSLATE(B24,""en"",""ta"")"),"பாதாளகங்கா, ஸ்ரீசைலம்")</f>
        <v>பாதாளகங்கா, ஸ்ரீசைலம்</v>
      </c>
      <c r="I24" s="10" t="str">
        <f>IFERROR(__xludf.DUMMYFUNCTION("GOOGLETRANSLATE(B24,""en"",""kn"")"),"ಪಾತಾಳಗಂಗಾ, ಶ್ರೀಶೈಲಂ")</f>
        <v>ಪಾತಾಳಗಂಗಾ, ಶ್ರೀಶೈಲಂ</v>
      </c>
      <c r="J24" s="10" t="str">
        <f>IFERROR(__xludf.DUMMYFUNCTION("GOOGLETRANSLATE(B24,""en"",""ml"")"),"പാതലഗംഗ, ശ്രീശൈലം")</f>
        <v>പാതലഗംഗ, ശ്രീശൈലം</v>
      </c>
      <c r="K24" s="12" t="s">
        <v>121</v>
      </c>
      <c r="L24" s="10" t="str">
        <f>IFERROR(__xludf.DUMMYFUNCTION("GOOGLETRANSLATE(K24,""en"",""te"")"),"శ్రీశైలం ఆలయానికి సమీపంలోని కృష్ణ నదిపై పాతాలగంగ ఒక పవిత్ర స్నాన ఘాట్. యాత్రికులు దర్శనానికి వెళ్లే ముందు ఇక్కడ పవిత్ర స్నానం చేస్తారు. ఈ ప్రదేశం ఆధ్యాత్మిక ప్రాముఖ్యత మరియు సుందరమైన అందాన్ని కలిగి ఉంది.")</f>
        <v>శ్రీశైలం ఆలయానికి సమీపంలోని కృష్ణ నదిపై పాతాలగంగ ఒక పవిత్ర స్నాన ఘాట్. యాత్రికులు దర్శనానికి వెళ్లే ముందు ఇక్కడ పవిత్ర స్నానం చేస్తారు. ఈ ప్రదేశం ఆధ్యాత్మిక ప్రాముఖ్యత మరియు సుందరమైన అందాన్ని కలిగి ఉంది.</v>
      </c>
      <c r="M24" s="10" t="str">
        <f>IFERROR(__xludf.DUMMYFUNCTION("GOOGLETRANSLATE(K24,""en"",""hi"")"),"श्रीशैलम मंदिर के पास कृष्णा नदी पर स्थित पातालगंगा एक पवित्र स्नान घाट है। तीर्थयात्री दर्शन से पहले यहां पवित्र स्नान करते हैं। यह स्थान आध्यात्मिक महत्व और प्राकृतिक सुंदरता का प्रतीक है।")</f>
        <v>श्रीशैलम मंदिर के पास कृष्णा नदी पर स्थित पातालगंगा एक पवित्र स्नान घाट है। तीर्थयात्री दर्शन से पहले यहां पवित्र स्नान करते हैं। यह स्थान आध्यात्मिक महत्व और प्राकृतिक सुंदरता का प्रतीक है।</v>
      </c>
      <c r="N24" s="10" t="str">
        <f>IFERROR(__xludf.DUMMYFUNCTION("GOOGLETRANSLATE(K24,""en"",""ta"")"),"ஸ்ரீசைலம் கோயிலுக்கு அருகிலுள்ள கிருஷ்ணா நதியில் பாதாளகங்கா ஒரு புனித நீராடும் தளமாகும். பக்தர்கள் தரிசனத்திற்குச் செல்வதற்கு முன்பு இங்கே புனித நீராடுகிறார்கள். இந்த இடம் ஆன்மீக முக்கியத்துவம் மற்றும் இயற்கை அழகைக் கொண்டுள்ளது.")</f>
        <v>ஸ்ரீசைலம் கோயிலுக்கு அருகிலுள்ள கிருஷ்ணா நதியில் பாதாளகங்கா ஒரு புனித நீராடும் தளமாகும். பக்தர்கள் தரிசனத்திற்குச் செல்வதற்கு முன்பு இங்கே புனித நீராடுகிறார்கள். இந்த இடம் ஆன்மீக முக்கியத்துவம் மற்றும் இயற்கை அழகைக் கொண்டுள்ளது.</v>
      </c>
      <c r="O24" s="10" t="str">
        <f>IFERROR(__xludf.DUMMYFUNCTION("GOOGLETRANSLATE(K24,""en"",""kn"")"),"ಶ್ರೀಶೈಲ ದೇವಸ್ಥಾನದ ಬಳಿಯ ಕೃಷ್ಣಾ ನದಿಯ ದಂಡೆಯ ಮೇಲೆ ಪಾತಾಳಗಂಗಾ ಒಂದು ಪವಿತ್ರ ಸ್ನಾನ ಘಾಟ್ ಆಗಿದೆ. ಯಾತ್ರಿಕರು ದರ್ಶನಕ್ಕೆ ಹೋಗುವ ಮೊದಲು ಇಲ್ಲಿ ಪವಿತ್ರ ಸ್ನಾನ ಮಾಡುತ್ತಾರೆ. ಈ ಸ್ಥಳವು ಆಧ್ಯಾತ್ಮಿಕ ಮಹತ್ವ ಮತ್ತು ರಮಣೀಯ ಸೌಂದರ್ಯವನ್ನು ಹೊಂದಿದೆ.")</f>
        <v>ಶ್ರೀಶೈಲ ದೇವಸ್ಥಾನದ ಬಳಿಯ ಕೃಷ್ಣಾ ನದಿಯ ದಂಡೆಯ ಮೇಲೆ ಪಾತಾಳಗಂಗಾ ಒಂದು ಪವಿತ್ರ ಸ್ನಾನ ಘಾಟ್ ಆಗಿದೆ. ಯಾತ್ರಿಕರು ದರ್ಶನಕ್ಕೆ ಹೋಗುವ ಮೊದಲು ಇಲ್ಲಿ ಪವಿತ್ರ ಸ್ನಾನ ಮಾಡುತ್ತಾರೆ. ಈ ಸ್ಥಳವು ಆಧ್ಯಾತ್ಮಿಕ ಮಹತ್ವ ಮತ್ತು ರಮಣೀಯ ಸೌಂದರ್ಯವನ್ನು ಹೊಂದಿದೆ.</v>
      </c>
      <c r="P24" s="10" t="str">
        <f>IFERROR(__xludf.DUMMYFUNCTION("GOOGLETRANSLATE(K24,""en"",""ml"")"),"ശ്രീശൈലം ക്ഷേത്രത്തിനടുത്തുള്ള കൃഷ്ണ നദിയിലെ ഒരു പുണ്യ സ്നാനഘട്ടമാണ് പാതാളഗംഗ. ദർശനത്തിനായി പുറപ്പെടുന്നതിന് മുമ്പ് തീർത്ഥാടകർ ഇവിടെ പുണ്യസ്നാനം നടത്തുന്നു. ആത്മീയ പ്രാധാന്യവും പ്രകൃതി സൗന്ദര്യവും ഈ സ്ഥലത്തിന് അവകാശപ്പെട്ടതാണ്.")</f>
        <v>ശ്രീശൈലം ക്ഷേത്രത്തിനടുത്തുള്ള കൃഷ്ണ നദിയിലെ ഒരു പുണ്യ സ്നാനഘട്ടമാണ് പാതാളഗംഗ. ദർശനത്തിനായി പുറപ്പെടുന്നതിന് മുമ്പ് തീർത്ഥാടകർ ഇവിടെ പുണ്യസ്നാനം നടത്തുന്നു. ആത്മീയ പ്രാധാന്യവും പ്രകൃതി സൗന്ദര്യവും ഈ സ്ഥലത്തിന് അവകാശപ്പെട്ടതാണ്.</v>
      </c>
    </row>
    <row r="25">
      <c r="A25" s="6">
        <f t="shared" si="1"/>
        <v>24</v>
      </c>
      <c r="B25" s="6" t="s">
        <v>122</v>
      </c>
      <c r="C25" s="6">
        <v>16.0532474</v>
      </c>
      <c r="D25" s="6">
        <v>78.8910426</v>
      </c>
      <c r="E25" s="5" t="s">
        <v>24</v>
      </c>
      <c r="F25" s="11" t="str">
        <f>IFERROR(__xludf.DUMMYFUNCTION("GOOGLETRANSLATE(B25,""en"",""te"")"),"పలధార–పంచధార")</f>
        <v>పలధార–పంచధార</v>
      </c>
      <c r="G25" s="10" t="str">
        <f>IFERROR(__xludf.DUMMYFUNCTION("GOOGLETRANSLATE(B25,""en"",""hi"")"),"पलाधारा-पंचधारा")</f>
        <v>पलाधारा-पंचधारा</v>
      </c>
      <c r="H25" s="10" t="str">
        <f>IFERROR(__xludf.DUMMYFUNCTION("GOOGLETRANSLATE(B25,""en"",""ta"")"),"பலதார–பஞ்சதார")</f>
        <v>பலதார–பஞ்சதார</v>
      </c>
      <c r="I25" s="10" t="str">
        <f>IFERROR(__xludf.DUMMYFUNCTION("GOOGLETRANSLATE(B25,""en"",""kn"")"),"ಪಲಾಧಾರ–ಪಂಚಧಾರ")</f>
        <v>ಪಲಾಧಾರ–ಪಂಚಧಾರ</v>
      </c>
      <c r="J25" s="10" t="str">
        <f>IFERROR(__xludf.DUMMYFUNCTION("GOOGLETRANSLATE(B25,""en"",""ml"")"),"പാലാധാര–പഞ്ചാധാര")</f>
        <v>പാലാധാര–പഞ്ചാധാര</v>
      </c>
      <c r="K25" s="12" t="s">
        <v>123</v>
      </c>
      <c r="L25" s="10" t="str">
        <f>IFERROR(__xludf.DUMMYFUNCTION("GOOGLETRANSLATE(K25,""en"",""te"")"),"ఇవి శ్రీశైలం అటవీ ప్రాంతంలో ఉన్న పవిత్ర నదులు. ఇవి మత విశ్వాసాలు మరియు పురాతన సంప్రదాయాలతో ముడిపడి ఉన్నాయి. భక్తులు మరియు సందర్శకులు ఆధ్యాత్మిక మరియు సహజ ప్రాముఖ్యత కోసం ఇక్కడికి వస్తారు.")</f>
        <v>ఇవి శ్రీశైలం అటవీ ప్రాంతంలో ఉన్న పవిత్ర నదులు. ఇవి మత విశ్వాసాలు మరియు పురాతన సంప్రదాయాలతో ముడిపడి ఉన్నాయి. భక్తులు మరియు సందర్శకులు ఆధ్యాత్మిక మరియు సహజ ప్రాముఖ్యత కోసం ఇక్కడికి వస్తారు.</v>
      </c>
      <c r="M25" s="10" t="str">
        <f>IFERROR(__xludf.DUMMYFUNCTION("GOOGLETRANSLATE(K25,""en"",""hi"")"),"ये श्रीशैलम के वन क्षेत्र में स्थित पवित्र जलधाराएँ हैं। इनका संबंध धार्मिक मान्यताओं और प्राचीन परंपराओं से है। श्रद्धालु और पर्यटक यहाँ आध्यात्मिक और प्राकृतिक महत्व के कारण आते हैं।")</f>
        <v>ये श्रीशैलम के वन क्षेत्र में स्थित पवित्र जलधाराएँ हैं। इनका संबंध धार्मिक मान्यताओं और प्राचीन परंपराओं से है। श्रद्धालु और पर्यटक यहाँ आध्यात्मिक और प्राकृतिक महत्व के कारण आते हैं।</v>
      </c>
      <c r="N25" s="10" t="str">
        <f>IFERROR(__xludf.DUMMYFUNCTION("GOOGLETRANSLATE(K25,""en"",""ta"")"),"இவை ஸ்ரீசைலம் வனப்பகுதியில் அமைந்துள்ள புனித நீரோடைகளாகும். இவை மத நம்பிக்கைகள் மற்றும் பண்டைய மரபுகளுடன் தொடர்புடையவை. பக்தர்களும் பார்வையாளர்களும் ஆன்மீக மற்றும் இயற்கை முக்கியத்துவத்திற்காக இங்கு வருகிறார்கள்.")</f>
        <v>இவை ஸ்ரீசைலம் வனப்பகுதியில் அமைந்துள்ள புனித நீரோடைகளாகும். இவை மத நம்பிக்கைகள் மற்றும் பண்டைய மரபுகளுடன் தொடர்புடையவை. பக்தர்களும் பார்வையாளர்களும் ஆன்மீக மற்றும் இயற்கை முக்கியத்துவத்திற்காக இங்கு வருகிறார்கள்.</v>
      </c>
      <c r="O25" s="10" t="str">
        <f>IFERROR(__xludf.DUMMYFUNCTION("GOOGLETRANSLATE(K25,""en"",""kn"")"),"ಇವು ಶ್ರೀಶೈಲದ ಅರಣ್ಯ ಪ್ರದೇಶದಲ್ಲಿ ನೆಲೆಗೊಂಡಿರುವ ಪವಿತ್ರ ಹೊಳೆಗಳಾಗಿವೆ. ಇವು ಧಾರ್ಮಿಕ ನಂಬಿಕೆಗಳು ಮತ್ತು ಪ್ರಾಚೀನ ಸಂಪ್ರದಾಯಗಳೊಂದಿಗೆ ಸಂಬಂಧ ಹೊಂದಿವೆ. ಭಕ್ತರು ಮತ್ತು ಸಂದರ್ಶಕರು ಆಧ್ಯಾತ್ಮಿಕ ಮತ್ತು ನೈಸರ್ಗಿಕ ಮಹತ್ವಕ್ಕಾಗಿ ಇಲ್ಲಿಗೆ ಬರುತ್ತಾರೆ.")</f>
        <v>ಇವು ಶ್ರೀಶೈಲದ ಅರಣ್ಯ ಪ್ರದೇಶದಲ್ಲಿ ನೆಲೆಗೊಂಡಿರುವ ಪವಿತ್ರ ಹೊಳೆಗಳಾಗಿವೆ. ಇವು ಧಾರ್ಮಿಕ ನಂಬಿಕೆಗಳು ಮತ್ತು ಪ್ರಾಚೀನ ಸಂಪ್ರದಾಯಗಳೊಂದಿಗೆ ಸಂಬಂಧ ಹೊಂದಿವೆ. ಭಕ್ತರು ಮತ್ತು ಸಂದರ್ಶಕರು ಆಧ್ಯಾತ್ಮಿಕ ಮತ್ತು ನೈಸರ್ಗಿಕ ಮಹತ್ವಕ್ಕಾಗಿ ಇಲ್ಲಿಗೆ ಬರುತ್ತಾರೆ.</v>
      </c>
      <c r="P25" s="10" t="str">
        <f>IFERROR(__xludf.DUMMYFUNCTION("GOOGLETRANSLATE(K25,""en"",""ml"")"),"ശ്രീശൈലത്തിലെ വനപ്രദേശത്ത് സ്ഥിതി ചെയ്യുന്ന പുണ്യനദികളാണിവ. മതവിശ്വാസങ്ങളുമായും പുരാതന പാരമ്പര്യങ്ങളുമായും ഇവ ബന്ധപ്പെട്ടിരിക്കുന്നു. ആത്മീയവും പ്രകൃതിദത്തവുമായ പ്രാധാന്യത്തിനായി ഭക്തരും സന്ദർശകരും ഇവിടെയെത്തുന്നു.")</f>
        <v>ശ്രീശൈലത്തിലെ വനപ്രദേശത്ത് സ്ഥിതി ചെയ്യുന്ന പുണ്യനദികളാണിവ. മതവിശ്വാസങ്ങളുമായും പുരാതന പാരമ്പര്യങ്ങളുമായും ഇവ ബന്ധപ്പെട്ടിരിക്കുന്നു. ആത്മീയവും പ്രകൃതിദത്തവുമായ പ്രാധാന്യത്തിനായി ഭക്തരും സന്ദർശകരും ഇവിടെയെത്തുന്നു.</v>
      </c>
    </row>
    <row r="26">
      <c r="A26" s="6">
        <f t="shared" si="1"/>
        <v>25</v>
      </c>
      <c r="B26" s="5" t="s">
        <v>124</v>
      </c>
      <c r="C26" s="6">
        <v>16.0780558</v>
      </c>
      <c r="D26" s="6">
        <v>78.8679649</v>
      </c>
      <c r="E26" s="5" t="s">
        <v>24</v>
      </c>
      <c r="F26" s="20" t="s">
        <v>125</v>
      </c>
      <c r="G26" s="8" t="s">
        <v>126</v>
      </c>
      <c r="H26" s="8" t="s">
        <v>127</v>
      </c>
      <c r="I26" s="8" t="s">
        <v>128</v>
      </c>
      <c r="J26" s="10" t="str">
        <f>IFERROR(__xludf.DUMMYFUNCTION("GOOGLETRANSLATE(B26,""en"",""ml"")"),"ഛത്രപതി ശിവജി മഹാരാജ് ക്ഷേത്രം, ശ്രീശൈലം")</f>
        <v>ഛത്രപതി ശിവജി മഹാരാജ് ക്ഷേത്രം, ശ്രീശൈലം</v>
      </c>
      <c r="K26" s="12" t="s">
        <v>129</v>
      </c>
      <c r="L26" s="10" t="str">
        <f>IFERROR(__xludf.DUMMYFUNCTION("GOOGLETRANSLATE(K26,""en"",""te"")"),"ఈ ఆలయం ఛత్రపతి శివాజీ మహారాజ్ శ్రీశైలం సందర్శన మరియు భక్తిని గుర్తుచేస్తుంది. ఇది ఈ ప్రాంతం యొక్క చారిత్రక మరియు ఆధ్యాత్మిక సంబంధాన్ని ప్రతిబింబిస్తుంది. ఆలయ అన్వేషణలో భాగంగా భక్తులు సందర్శిస్తారు.")</f>
        <v>ఈ ఆలయం ఛత్రపతి శివాజీ మహారాజ్ శ్రీశైలం సందర్శన మరియు భక్తిని గుర్తుచేస్తుంది. ఇది ఈ ప్రాంతం యొక్క చారిత్రక మరియు ఆధ్యాత్మిక సంబంధాన్ని ప్రతిబింబిస్తుంది. ఆలయ అన్వేషణలో భాగంగా భక్తులు సందర్శిస్తారు.</v>
      </c>
      <c r="M26" s="10" t="str">
        <f>IFERROR(__xludf.DUMMYFUNCTION("GOOGLETRANSLATE(K26,""en"",""hi"")"),"यह मंदिर छत्रपति शिवाजी महाराज की श्रीशैलम यात्रा और भक्ति की याद दिलाता है। यह क्षेत्र के ऐतिहासिक और आध्यात्मिक जुड़ाव को दर्शाता है। श्रद्धालु मंदिर भ्रमण के हिस्से के रूप में यहां दर्शन करने आते हैं।")</f>
        <v>यह मंदिर छत्रपति शिवाजी महाराज की श्रीशैलम यात्रा और भक्ति की याद दिलाता है। यह क्षेत्र के ऐतिहासिक और आध्यात्मिक जुड़ाव को दर्शाता है। श्रद्धालु मंदिर भ्रमण के हिस्से के रूप में यहां दर्शन करने आते हैं।</v>
      </c>
      <c r="N26" s="10" t="str">
        <f>IFERROR(__xludf.DUMMYFUNCTION("GOOGLETRANSLATE(K26,""en"",""ta"")"),"சத்ரபதி சிவாஜி மகாராஜின் ஸ்ரீசைலம் வருகை மற்றும் பக்தியை நினைவுகூரும் வகையில் இந்தக் கோயில் அமைந்துள்ளது. இது இந்தப் பகுதியின் வரலாற்று மற்றும் ஆன்மீக தொடர்பைப் பிரதிபலிக்கிறது. கோயில் ஆய்வின் ஒரு பகுதியாக பக்தர்கள் இங்கு வருகை தருகின்றனர்.")</f>
        <v>சத்ரபதி சிவாஜி மகாராஜின் ஸ்ரீசைலம் வருகை மற்றும் பக்தியை நினைவுகூரும் வகையில் இந்தக் கோயில் அமைந்துள்ளது. இது இந்தப் பகுதியின் வரலாற்று மற்றும் ஆன்மீக தொடர்பைப் பிரதிபலிக்கிறது. கோயில் ஆய்வின் ஒரு பகுதியாக பக்தர்கள் இங்கு வருகை தருகின்றனர்.</v>
      </c>
      <c r="O26" s="10" t="str">
        <f>IFERROR(__xludf.DUMMYFUNCTION("GOOGLETRANSLATE(K26,""en"",""kn"")"),"ಈ ದೇವಾಲಯವು ಛತ್ರಪತಿ ಶಿವಾಜಿ ಮಹಾರಾಜರ ಶ್ರೀಶೈಲ ಭೇಟಿ ಮತ್ತು ಅವರ ಭಕ್ತಿಯನ್ನು ಸ್ಮರಿಸುತ್ತದೆ. ಇದು ಈ ಪ್ರದೇಶದ ಐತಿಹಾಸಿಕ ಮತ್ತು ಆಧ್ಯಾತ್ಮಿಕ ಸಂಪರ್ಕವನ್ನು ಪ್ರತಿಬಿಂಬಿಸುತ್ತದೆ. ದೇವಾಲಯ ಪರಿಶೋಧನೆಯ ಭಾಗವಾಗಿ ಭಕ್ತರು ಭೇಟಿ ನೀಡುತ್ತಾರೆ.")</f>
        <v>ಈ ದೇವಾಲಯವು ಛತ್ರಪತಿ ಶಿವಾಜಿ ಮಹಾರಾಜರ ಶ್ರೀಶೈಲ ಭೇಟಿ ಮತ್ತು ಅವರ ಭಕ್ತಿಯನ್ನು ಸ್ಮರಿಸುತ್ತದೆ. ಇದು ಈ ಪ್ರದೇಶದ ಐತಿಹಾಸಿಕ ಮತ್ತು ಆಧ್ಯಾತ್ಮಿಕ ಸಂಪರ್ಕವನ್ನು ಪ್ರತಿಬಿಂಬಿಸುತ್ತದೆ. ದೇವಾಲಯ ಪರಿಶೋಧನೆಯ ಭಾಗವಾಗಿ ಭಕ್ತರು ಭೇಟಿ ನೀಡುತ್ತಾರೆ.</v>
      </c>
      <c r="P26" s="10" t="str">
        <f>IFERROR(__xludf.DUMMYFUNCTION("GOOGLETRANSLATE(K26,""en"",""ml"")"),"ഛത്രപതി ശിവാജി മഹാരാജിന്റെ ശ്രീശൈലം സന്ദർശനത്തെയും ഭക്തിയെയും അനുസ്മരിക്കുന്ന ക്ഷേത്രമാണിത്. ഈ പ്രദേശത്തിന്റെ ചരിത്രപരവും ആത്മീയവുമായ ബന്ധത്തെ ഇത് പ്രതിഫലിപ്പിക്കുന്നു. ക്ഷേത്ര പര്യവേക്ഷണത്തിന്റെ ഭാഗമായി ഭക്തർ ഇവിടെ സന്ദർശിക്കുന്നു.")</f>
        <v>ഛത്രപതി ശിവാജി മഹാരാജിന്റെ ശ്രീശൈലം സന്ദർശനത്തെയും ഭക്തിയെയും അനുസ്മരിക്കുന്ന ക്ഷേത്രമാണിത്. ഈ പ്രദേശത്തിന്റെ ചരിത്രപരവും ആത്മീയവുമായ ബന്ധത്തെ ഇത് പ്രതിഫലിപ്പിക്കുന്നു. ക്ഷേത്ര പര്യവേക്ഷണത്തിന്റെ ഭാഗമായി ഭക്തർ ഇവിടെ സന്ദർശിക്കുന്നു.</v>
      </c>
    </row>
    <row r="27">
      <c r="A27" s="6">
        <f t="shared" si="1"/>
        <v>26</v>
      </c>
      <c r="B27" s="6" t="s">
        <v>130</v>
      </c>
      <c r="C27" s="6">
        <v>16.0779739</v>
      </c>
      <c r="D27" s="6">
        <v>78.8684601</v>
      </c>
      <c r="E27" s="5" t="s">
        <v>24</v>
      </c>
      <c r="F27" s="20" t="s">
        <v>131</v>
      </c>
      <c r="G27" s="8" t="s">
        <v>132</v>
      </c>
      <c r="H27" s="8" t="s">
        <v>133</v>
      </c>
      <c r="I27" s="8" t="s">
        <v>134</v>
      </c>
      <c r="J27" s="10" t="str">
        <f>IFERROR(__xludf.DUMMYFUNCTION("GOOGLETRANSLATE(B27,""en"",""ml"")"),"ഛത്രപതി ശിവജി മഹാരാജ് ക്ഷേത്ര പ്രവേശന കവാടം")</f>
        <v>ഛത്രപതി ശിവജി മഹാരാജ് ക്ഷേത്ര പ്രവേശന കവാടം</v>
      </c>
      <c r="K27" s="12" t="s">
        <v>135</v>
      </c>
      <c r="L27" s="10" t="str">
        <f>IFERROR(__xludf.DUMMYFUNCTION("GOOGLETRANSLATE(K27,""en"",""te"")"),"ఇది శ్రీశైలంలోని శివాజీ మహారాజ్ ఆలయానికి దారితీసే ప్రవేశ ద్వారం. ఇది సందర్శకులకు ప్రధాన ప్రవేశ కేంద్రంగా పనిచేస్తుంది. ఈ ప్రవేశ ద్వారం ఒక ముఖ్యమైన మైలురాయిగా గుర్తించబడింది.")</f>
        <v>ఇది శ్రీశైలంలోని శివాజీ మహారాజ్ ఆలయానికి దారితీసే ప్రవేశ ద్వారం. ఇది సందర్శకులకు ప్రధాన ప్రవేశ కేంద్రంగా పనిచేస్తుంది. ఈ ప్రవేశ ద్వారం ఒక ముఖ్యమైన మైలురాయిగా గుర్తించబడింది.</v>
      </c>
      <c r="M27" s="10" t="str">
        <f>IFERROR(__xludf.DUMMYFUNCTION("GOOGLETRANSLATE(K27,""en"",""hi"")"),"यह श्रीशैलम में शिवाजी महाराज मंदिर का प्रवेश द्वार है। यह आगंतुकों के लिए मुख्य प्रवेश द्वार है। इस प्रवेश द्वार को एक महत्वपूर्ण स्थल के रूप में चिह्नित किया गया है।")</f>
        <v>यह श्रीशैलम में शिवाजी महाराज मंदिर का प्रवेश द्वार है। यह आगंतुकों के लिए मुख्य प्रवेश द्वार है। इस प्रवेश द्वार को एक महत्वपूर्ण स्थल के रूप में चिह्नित किया गया है।</v>
      </c>
      <c r="N27" s="10" t="str">
        <f>IFERROR(__xludf.DUMMYFUNCTION("GOOGLETRANSLATE(K27,""en"",""ta"")"),"இது ஸ்ரீசைலத்தில் உள்ள சிவாஜி மகாராஜ் கோயிலுக்குச் செல்லும் நுழைவாயில் ஆகும். இது பார்வையாளர்களுக்கான முக்கிய அணுகல் இடமாக செயல்படுகிறது. நுழைவாயில் ஒரு குறிப்பிடத்தக்க அடையாளமாக குறிக்கப்பட்டுள்ளது.")</f>
        <v>இது ஸ்ரீசைலத்தில் உள்ள சிவாஜி மகாராஜ் கோயிலுக்குச் செல்லும் நுழைவாயில் ஆகும். இது பார்வையாளர்களுக்கான முக்கிய அணுகல் இடமாக செயல்படுகிறது. நுழைவாயில் ஒரு குறிப்பிடத்தக்க அடையாளமாக குறிக்கப்பட்டுள்ளது.</v>
      </c>
      <c r="O27" s="10" t="str">
        <f>IFERROR(__xludf.DUMMYFUNCTION("GOOGLETRANSLATE(K27,""en"",""kn"")"),"ಇದು ಶ್ರೀಶೈಲದ ಶಿವಾಜಿ ಮಹಾರಾಜ್ ದೇವಸ್ಥಾನಕ್ಕೆ ಹೋಗುವ ಪ್ರವೇಶ ದ್ವಾರವಾಗಿದೆ. ಇದು ಸಂದರ್ಶಕರಿಗೆ ಮುಖ್ಯ ಪ್ರವೇಶ ಬಿಂದುವಾಗಿ ಕಾರ್ಯನಿರ್ವಹಿಸುತ್ತದೆ. ಪ್ರವೇಶದ್ವಾರವನ್ನು ಗಮನಾರ್ಹ ಹೆಗ್ಗುರುತಾಗಿ ಗುರುತಿಸಲಾಗಿದೆ.")</f>
        <v>ಇದು ಶ್ರೀಶೈಲದ ಶಿವಾಜಿ ಮಹಾರಾಜ್ ದೇವಸ್ಥಾನಕ್ಕೆ ಹೋಗುವ ಪ್ರವೇಶ ದ್ವಾರವಾಗಿದೆ. ಇದು ಸಂದರ್ಶಕರಿಗೆ ಮುಖ್ಯ ಪ್ರವೇಶ ಬಿಂದುವಾಗಿ ಕಾರ್ಯನಿರ್ವಹಿಸುತ್ತದೆ. ಪ್ರವೇಶದ್ವಾರವನ್ನು ಗಮನಾರ್ಹ ಹೆಗ್ಗುರುತಾಗಿ ಗುರುತಿಸಲಾಗಿದೆ.</v>
      </c>
      <c r="P27" s="10" t="str">
        <f>IFERROR(__xludf.DUMMYFUNCTION("GOOGLETRANSLATE(K27,""en"",""ml"")"),"ശ്രീശൈലത്തിലെ ശിവാജി മഹാരാജ് ക്ഷേത്രത്തിലേക്കുള്ള പ്രവേശന കവാടമാണിത്. സന്ദർശകർക്കുള്ള പ്രധാന പ്രവേശന കവാടമാണിത്. പ്രവേശന കവാടം ശ്രദ്ധേയമായ ഒരു നാഴികക്കല്ലായി അടയാളപ്പെടുത്തിയിരിക്കുന്നു.")</f>
        <v>ശ്രീശൈലത്തിലെ ശിവാജി മഹാരാജ് ക്ഷേത്രത്തിലേക്കുള്ള പ്രവേശന കവാടമാണിത്. സന്ദർശകർക്കുള്ള പ്രധാന പ്രവേശന കവാടമാണിത്. പ്രവേശന കവാടം ശ്രദ്ധേയമായ ഒരു നാഴികക്കല്ലായി അടയാളപ്പെടുത്തിയിരിക്കുന്നു.</v>
      </c>
    </row>
    <row r="28">
      <c r="A28" s="6">
        <f t="shared" si="1"/>
        <v>27</v>
      </c>
      <c r="B28" s="6" t="s">
        <v>136</v>
      </c>
      <c r="C28" s="6">
        <v>16.0741447</v>
      </c>
      <c r="D28" s="6">
        <v>78.8678624</v>
      </c>
      <c r="E28" s="5" t="s">
        <v>24</v>
      </c>
      <c r="F28" s="11" t="str">
        <f>IFERROR(__xludf.DUMMYFUNCTION("GOOGLETRANSLATE(B28,""en"",""te"")"),"పంచ భూత శివ లింగాలు")</f>
        <v>పంచ భూత శివ లింగాలు</v>
      </c>
      <c r="G28" s="10" t="str">
        <f>IFERROR(__xludf.DUMMYFUNCTION("GOOGLETRANSLATE(B28,""en"",""hi"")"),"पंच भूता शिव लिंग")</f>
        <v>पंच भूता शिव लिंग</v>
      </c>
      <c r="H28" s="10" t="str">
        <f>IFERROR(__xludf.DUMMYFUNCTION("GOOGLETRANSLATE(B28,""en"",""ta"")"),"பஞ்ச பூத சிவ லிங்கங்கள்")</f>
        <v>பஞ்ச பூத சிவ லிங்கங்கள்</v>
      </c>
      <c r="I28" s="10" t="str">
        <f>IFERROR(__xludf.DUMMYFUNCTION("GOOGLETRANSLATE(B28,""en"",""kn"")"),"ಪಂಚ ಭೂತ ಶಿವ ಲಿಂಗಗಳು")</f>
        <v>ಪಂಚ ಭೂತ ಶಿವ ಲಿಂಗಗಳು</v>
      </c>
      <c r="J28" s="10" t="str">
        <f>IFERROR(__xludf.DUMMYFUNCTION("GOOGLETRANSLATE(B28,""en"",""ml"")"),"പഞ്ചഭൂത ശിവലിംഗങ്ങൾ")</f>
        <v>പഞ്ചഭൂത ശിവലിംഗങ്ങൾ</v>
      </c>
      <c r="K28" s="12" t="s">
        <v>137</v>
      </c>
      <c r="L28" s="10" t="str">
        <f>IFERROR(__xludf.DUMMYFUNCTION("GOOGLETRANSLATE(K28,""en"",""te"")"),"ఈ శివలింగాలు శైవ విశ్వాసం ప్రకారం ఐదు సహజ అంశాలను సూచిస్తాయి. శ్రీశైలం ఆలయ ప్రాంతంలో ఇవి ఆధ్యాత్మిక ప్రాముఖ్యతను కలిగి ఉన్నాయి. భక్తులు సాంప్రదాయ ఆచారాలలో భాగంగా వీటిని పూజిస్తారు.")</f>
        <v>ఈ శివలింగాలు శైవ విశ్వాసం ప్రకారం ఐదు సహజ అంశాలను సూచిస్తాయి. శ్రీశైలం ఆలయ ప్రాంతంలో ఇవి ఆధ్యాత్మిక ప్రాముఖ్యతను కలిగి ఉన్నాయి. భక్తులు సాంప్రదాయ ఆచారాలలో భాగంగా వీటిని పూజిస్తారు.</v>
      </c>
      <c r="M28" s="10" t="str">
        <f>IFERROR(__xludf.DUMMYFUNCTION("GOOGLETRANSLATE(K28,""en"",""hi"")"),"शैव धर्म की मान्यता के अनुसार, ये शिवलिंग पाँच प्राकृतिक तत्वों का प्रतिनिधित्व करते हैं। श्रीशैलम मंदिर परिसर में इनका आध्यात्मिक महत्व है। भक्त पारंपरिक अनुष्ठानों के भाग के रूप में इनकी पूजा करते हैं।")</f>
        <v>शैव धर्म की मान्यता के अनुसार, ये शिवलिंग पाँच प्राकृतिक तत्वों का प्रतिनिधित्व करते हैं। श्रीशैलम मंदिर परिसर में इनका आध्यात्मिक महत्व है। भक्त पारंपरिक अनुष्ठानों के भाग के रूप में इनकी पूजा करते हैं।</v>
      </c>
      <c r="N28" s="10" t="str">
        <f>IFERROR(__xludf.DUMMYFUNCTION("GOOGLETRANSLATE(K28,""en"",""ta"")"),"சைவ நம்பிக்கையின்படி, இந்த சிவலிங்கங்கள் ஐந்து இயற்கை கூறுகளைக் குறிக்கின்றன. ஸ்ரீசைலம் கோயில் பகுதியில் இவை ஆன்மீக முக்கியத்துவம் வாய்ந்தவை. பக்தர்கள் பாரம்பரிய சடங்குகளின் ஒரு பகுதியாக இவற்றை வழிபடுகிறார்கள்.")</f>
        <v>சைவ நம்பிக்கையின்படி, இந்த சிவலிங்கங்கள் ஐந்து இயற்கை கூறுகளைக் குறிக்கின்றன. ஸ்ரீசைலம் கோயில் பகுதியில் இவை ஆன்மீக முக்கியத்துவம் வாய்ந்தவை. பக்தர்கள் பாரம்பரிய சடங்குகளின் ஒரு பகுதியாக இவற்றை வழிபடுகிறார்கள்.</v>
      </c>
      <c r="O28" s="10" t="str">
        <f>IFERROR(__xludf.DUMMYFUNCTION("GOOGLETRANSLATE(K28,""en"",""kn"")"),"ಶೈವ ನಂಬಿಕೆಯ ಪ್ರಕಾರ ಈ ಶಿವಲಿಂಗಗಳು ಐದು ನೈಸರ್ಗಿಕ ಅಂಶಗಳನ್ನು ಪ್ರತಿನಿಧಿಸುತ್ತವೆ. ಶ್ರೀಶೈಲ ದೇವಾಲಯ ಪ್ರದೇಶದಲ್ಲಿ ಅವು ಆಧ್ಯಾತ್ಮಿಕ ಪ್ರಾಮುಖ್ಯತೆಯನ್ನು ಹೊಂದಿವೆ. ಭಕ್ತರು ಸಾಂಪ್ರದಾಯಿಕ ಆಚರಣೆಗಳ ಭಾಗವಾಗಿ ಅವುಗಳನ್ನು ಪೂಜಿಸುತ್ತಾರೆ.")</f>
        <v>ಶೈವ ನಂಬಿಕೆಯ ಪ್ರಕಾರ ಈ ಶಿವಲಿಂಗಗಳು ಐದು ನೈಸರ್ಗಿಕ ಅಂಶಗಳನ್ನು ಪ್ರತಿನಿಧಿಸುತ್ತವೆ. ಶ್ರೀಶೈಲ ದೇವಾಲಯ ಪ್ರದೇಶದಲ್ಲಿ ಅವು ಆಧ್ಯಾತ್ಮಿಕ ಪ್ರಾಮುಖ್ಯತೆಯನ್ನು ಹೊಂದಿವೆ. ಭಕ್ತರು ಸಾಂಪ್ರದಾಯಿಕ ಆಚರಣೆಗಳ ಭಾಗವಾಗಿ ಅವುಗಳನ್ನು ಪೂಜಿಸುತ್ತಾರೆ.</v>
      </c>
      <c r="P28" s="10" t="str">
        <f>IFERROR(__xludf.DUMMYFUNCTION("GOOGLETRANSLATE(K28,""en"",""ml"")"),"ശൈവ വിശ്വാസമനുസരിച്ച്, ഈ ശിവലിംഗങ്ങൾ അഞ്ച് പ്രകൃതി ഘടകങ്ങളെ പ്രതിനിധീകരിക്കുന്നു. ശ്രീശൈലം ക്ഷേത്ര പ്രദേശത്ത് ഇവയ്ക്ക് ആത്മീയ പ്രാധാന്യമുണ്ട്. പരമ്പരാഗത ആചാരങ്ങളുടെ ഭാഗമായി ഭക്തർ അവയെ ആരാധിക്കുന്നു.")</f>
        <v>ശൈവ വിശ്വാസമനുസരിച്ച്, ഈ ശിവലിംഗങ്ങൾ അഞ്ച് പ്രകൃതി ഘടകങ്ങളെ പ്രതിനിധീകരിക്കുന്നു. ശ്രീശൈലം ക്ഷേത്ര പ്രദേശത്ത് ഇവയ്ക്ക് ആത്മീയ പ്രാധാന്യമുണ്ട്. പരമ്പരാഗത ആചാരങ്ങളുടെ ഭാഗമായി ഭക്തർ അവയെ ആരാധിക്കുന്നു.</v>
      </c>
    </row>
    <row r="29">
      <c r="A29" s="6">
        <f t="shared" si="1"/>
        <v>28</v>
      </c>
      <c r="B29" s="6" t="s">
        <v>138</v>
      </c>
      <c r="C29" s="6">
        <v>16.0741563</v>
      </c>
      <c r="D29" s="6">
        <v>78.8681614</v>
      </c>
      <c r="E29" s="5" t="s">
        <v>24</v>
      </c>
      <c r="F29" s="11" t="str">
        <f>IFERROR(__xludf.DUMMYFUNCTION("GOOGLETRANSLATE(B29,""en"",""te"")"),"వృద్ద లింగేశ్వర స్వామి దేవాలయం")</f>
        <v>వృద్ద లింగేశ్వర స్వామి దేవాలయం</v>
      </c>
      <c r="G29" s="10" t="str">
        <f>IFERROR(__xludf.DUMMYFUNCTION("GOOGLETRANSLATE(B29,""en"",""hi"")"),"वृद्दा लिंगेश्वर स्वामी मंदिर")</f>
        <v>वृद्दा लिंगेश्वर स्वामी मंदिर</v>
      </c>
      <c r="H29" s="10" t="str">
        <f>IFERROR(__xludf.DUMMYFUNCTION("GOOGLETRANSLATE(B29,""en"",""ta"")"),"விருத்த லிங்கேஸ்வர சுவாமி கோவில்")</f>
        <v>விருத்த லிங்கேஸ்வர சுவாமி கோவில்</v>
      </c>
      <c r="I29" s="10" t="str">
        <f>IFERROR(__xludf.DUMMYFUNCTION("GOOGLETRANSLATE(B29,""en"",""kn"")"),"ವೃದ್ದ ಲಿಂಗೇಶ್ವರ ಸ್ವಾಮಿ ದೇವಸ್ಥಾನ")</f>
        <v>ವೃದ್ದ ಲಿಂಗೇಶ್ವರ ಸ್ವಾಮಿ ದೇವಸ್ಥಾನ</v>
      </c>
      <c r="J29" s="10" t="str">
        <f>IFERROR(__xludf.DUMMYFUNCTION("GOOGLETRANSLATE(B29,""en"",""ml"")"),"വൃദ്ധ ലിംഗേശ്വര സ്വാമി ക്ഷേത്രം")</f>
        <v>വൃദ്ധ ലിംഗേശ്വര സ്വാമി ക്ഷേത്രം</v>
      </c>
      <c r="K29" s="12" t="s">
        <v>139</v>
      </c>
      <c r="L29" s="10" t="str">
        <f>IFERROR(__xludf.DUMMYFUNCTION("GOOGLETRANSLATE(K29,""en"",""te"")"),"ఈ పురాతన ఆలయం శివుని యుగపు రూపాన్ని సూచిస్తుంది. శ్రీశైల సంప్రదాయాలలో ఇది ఆధ్యాత్మికంగా ముఖ్యమైనదని నమ్ముతారు. భక్తులు శాంతి మరియు ఆశీర్వాదాల కోసం సందర్శిస్తారు.")</f>
        <v>ఈ పురాతన ఆలయం శివుని యుగపు రూపాన్ని సూచిస్తుంది. శ్రీశైల సంప్రదాయాలలో ఇది ఆధ్యాత్మికంగా ముఖ్యమైనదని నమ్ముతారు. భక్తులు శాంతి మరియు ఆశీర్వాదాల కోసం సందర్శిస్తారు.</v>
      </c>
      <c r="M29" s="10" t="str">
        <f>IFERROR(__xludf.DUMMYFUNCTION("GOOGLETRANSLATE(K29,""en"",""hi"")"),"यह प्राचीन मंदिर भगवान शिव के वृद्ध रूप का प्रतिनिधित्व करता है। श्रीशैलम की परंपराओं में इसे आध्यात्मिक रूप से बहुत महत्वपूर्ण माना जाता है। भक्त शांति और आशीर्वाद की प्राप्ति के लिए यहां दर्शन करने आते हैं।")</f>
        <v>यह प्राचीन मंदिर भगवान शिव के वृद्ध रूप का प्रतिनिधित्व करता है। श्रीशैलम की परंपराओं में इसे आध्यात्मिक रूप से बहुत महत्वपूर्ण माना जाता है। भक्त शांति और आशीर्वाद की प्राप्ति के लिए यहां दर्शन करने आते हैं।</v>
      </c>
      <c r="N29" s="10" t="str">
        <f>IFERROR(__xludf.DUMMYFUNCTION("GOOGLETRANSLATE(K29,""en"",""ta"")"),"இந்த பழமையான கோயில் சிவபெருமானின் பழமையான வடிவத்தைக் குறிக்கிறது. ஸ்ரீசைலம் மரபுகளில் இது ஆன்மீக முக்கியத்துவம் வாய்ந்ததாக நம்பப்படுகிறது. பக்தர்கள் அமைதி மற்றும் ஆசீர்வாதங்களைத் தேடி இங்கு வருகிறார்கள்.")</f>
        <v>இந்த பழமையான கோயில் சிவபெருமானின் பழமையான வடிவத்தைக் குறிக்கிறது. ஸ்ரீசைலம் மரபுகளில் இது ஆன்மீக முக்கியத்துவம் வாய்ந்ததாக நம்பப்படுகிறது. பக்தர்கள் அமைதி மற்றும் ஆசீர்வாதங்களைத் தேடி இங்கு வருகிறார்கள்.</v>
      </c>
      <c r="O29" s="10" t="str">
        <f>IFERROR(__xludf.DUMMYFUNCTION("GOOGLETRANSLATE(K29,""en"",""kn"")"),"ಈ ಪ್ರಾಚೀನ ದೇವಾಲಯವು ಶಿವನ ಹಳೆಯ ರೂಪವನ್ನು ಪ್ರತಿನಿಧಿಸುತ್ತದೆ. ಶ್ರೀಶೈಲ ಸಂಪ್ರದಾಯಗಳಲ್ಲಿ ಇದು ಆಧ್ಯಾತ್ಮಿಕವಾಗಿ ಮಹತ್ವದ್ದಾಗಿದೆ ಎಂದು ನಂಬಲಾಗಿದೆ. ಭಕ್ತರು ಶಾಂತಿ ಮತ್ತು ಆಶೀರ್ವಾದವನ್ನು ಪಡೆಯಲು ಭೇಟಿ ನೀಡುತ್ತಾರೆ.")</f>
        <v>ಈ ಪ್ರಾಚೀನ ದೇವಾಲಯವು ಶಿವನ ಹಳೆಯ ರೂಪವನ್ನು ಪ್ರತಿನಿಧಿಸುತ್ತದೆ. ಶ್ರೀಶೈಲ ಸಂಪ್ರದಾಯಗಳಲ್ಲಿ ಇದು ಆಧ್ಯಾತ್ಮಿಕವಾಗಿ ಮಹತ್ವದ್ದಾಗಿದೆ ಎಂದು ನಂಬಲಾಗಿದೆ. ಭಕ್ತರು ಶಾಂತಿ ಮತ್ತು ಆಶೀರ್ವಾದವನ್ನು ಪಡೆಯಲು ಭೇಟಿ ನೀಡುತ್ತಾರೆ.</v>
      </c>
      <c r="P29" s="10" t="str">
        <f>IFERROR(__xludf.DUMMYFUNCTION("GOOGLETRANSLATE(K29,""en"",""ml"")"),"ഈ പുരാതന ക്ഷേത്രം ശിവന്റെ ഒരു പഴക്കം ചെന്ന രൂപത്തെ പ്രതിനിധീകരിക്കുന്നു. ശ്രീശൈലം പാരമ്പര്യത്തിൽ ഇതിന് ആത്മീയ പ്രാധാന്യമുണ്ടെന്ന് വിശ്വസിക്കപ്പെടുന്നു. സമാധാനവും അനുഗ്രഹവും തേടി ഭക്തർ ഇവിടെ സന്ദർശിക്കുന്നു.")</f>
        <v>ഈ പുരാതന ക്ഷേത്രം ശിവന്റെ ഒരു പഴക്കം ചെന്ന രൂപത്തെ പ്രതിനിധീകരിക്കുന്നു. ശ്രീശൈലം പാരമ്പര്യത്തിൽ ഇതിന് ആത്മീയ പ്രാധാന്യമുണ്ടെന്ന് വിശ്വസിക്കപ്പെടുന്നു. സമാധാനവും അനുഗ്രഹവും തേടി ഭക്തർ ഇവിടെ സന്ദർശിക്കുന്നു.</v>
      </c>
    </row>
    <row r="30">
      <c r="A30" s="6">
        <f t="shared" si="1"/>
        <v>29</v>
      </c>
      <c r="B30" s="6" t="s">
        <v>140</v>
      </c>
      <c r="C30" s="6">
        <v>16.0742159</v>
      </c>
      <c r="D30" s="6">
        <v>78.8682793</v>
      </c>
      <c r="E30" s="5" t="s">
        <v>24</v>
      </c>
      <c r="F30" s="11" t="str">
        <f>IFERROR(__xludf.DUMMYFUNCTION("GOOGLETRANSLATE(B30,""en"",""te"")"),"త్రిఫల వృక్షం (రవి)")</f>
        <v>త్రిఫల వృక్షం (రవి)</v>
      </c>
      <c r="G30" s="10" t="str">
        <f>IFERROR(__xludf.DUMMYFUNCTION("GOOGLETRANSLATE(B30,""en"",""hi"")"),"त्रिफला वृक्षम् (रवि)")</f>
        <v>त्रिफला वृक्षम् (रवि)</v>
      </c>
      <c r="H30" s="10" t="str">
        <f>IFERROR(__xludf.DUMMYFUNCTION("GOOGLETRANSLATE(B30,""en"",""ta"")"),"திரிபால விருக்ஷம் (ரவி)")</f>
        <v>திரிபால விருக்ஷம் (ரவி)</v>
      </c>
      <c r="I30" s="10" t="str">
        <f>IFERROR(__xludf.DUMMYFUNCTION("GOOGLETRANSLATE(B30,""en"",""kn"")"),"ತ್ರಿಫಲ ವೃಕ್ಷಂ (ರವಿ)")</f>
        <v>ತ್ರಿಫಲ ವೃಕ್ಷಂ (ರವಿ)</v>
      </c>
      <c r="J30" s="10" t="str">
        <f>IFERROR(__xludf.DUMMYFUNCTION("GOOGLETRANSLATE(B30,""en"",""ml"")"),"തൃഫലവൃക്ഷം (രവി)")</f>
        <v>തൃഫലവൃക്ഷം (രവി)</v>
      </c>
      <c r="K30" s="12" t="s">
        <v>141</v>
      </c>
      <c r="L30" s="10" t="str">
        <f>IFERROR(__xludf.DUMMYFUNCTION("GOOGLETRANSLATE(K30,""en"",""te"")"),"ఈ పవిత్ర వృక్షం శ్రీశైలంలోని సాంప్రదాయ మత విశ్వాసాలతో ముడిపడి ఉంది. భక్తులు ఈ చెట్టు దగ్గర ప్రార్థనలు చేస్తారు మరియు ఆచారాలు నిర్వహిస్తారు. దీనిని ఆధ్యాత్మికంగా ముఖ్యమైనదిగా భావిస్తారు.")</f>
        <v>ఈ పవిత్ర వృక్షం శ్రీశైలంలోని సాంప్రదాయ మత విశ్వాసాలతో ముడిపడి ఉంది. భక్తులు ఈ చెట్టు దగ్గర ప్రార్థనలు చేస్తారు మరియు ఆచారాలు నిర్వహిస్తారు. దీనిని ఆధ్యాత్మికంగా ముఖ్యమైనదిగా భావిస్తారు.</v>
      </c>
      <c r="M30" s="10" t="str">
        <f>IFERROR(__xludf.DUMMYFUNCTION("GOOGLETRANSLATE(K30,""en"",""hi"")"),"श्रीशैलम में यह पवित्र वृक्ष पारंपरिक धार्मिक मान्यताओं से जुड़ा हुआ है। भक्त इस वृक्ष के पास प्रार्थना और अनुष्ठान करते हैं। इसे आध्यात्मिक रूप से महत्वपूर्ण माना जाता है।")</f>
        <v>श्रीशैलम में यह पवित्र वृक्ष पारंपरिक धार्मिक मान्यताओं से जुड़ा हुआ है। भक्त इस वृक्ष के पास प्रार्थना और अनुष्ठान करते हैं। इसे आध्यात्मिक रूप से महत्वपूर्ण माना जाता है।</v>
      </c>
      <c r="N30" s="10" t="str">
        <f>IFERROR(__xludf.DUMMYFUNCTION("GOOGLETRANSLATE(K30,""en"",""ta"")"),"இந்த புனித மரம் ஸ்ரீசைலத்தின் பாரம்பரிய மத நம்பிக்கைகளுடன் தொடர்புடையது. பக்தர்கள் இந்த மரத்தின் அருகே பிரார்த்தனை செய்து சடங்குகளைச் செய்கிறார்கள். இது ஆன்மீக முக்கியத்துவம் வாய்ந்ததாகக் கருதப்படுகிறது.")</f>
        <v>இந்த புனித மரம் ஸ்ரீசைலத்தின் பாரம்பரிய மத நம்பிக்கைகளுடன் தொடர்புடையது. பக்தர்கள் இந்த மரத்தின் அருகே பிரார்த்தனை செய்து சடங்குகளைச் செய்கிறார்கள். இது ஆன்மீக முக்கியத்துவம் வாய்ந்ததாகக் கருதப்படுகிறது.</v>
      </c>
      <c r="O30" s="10" t="str">
        <f>IFERROR(__xludf.DUMMYFUNCTION("GOOGLETRANSLATE(K30,""en"",""kn"")"),"ಈ ಪವಿತ್ರ ಮರವು ಶ್ರೀಶೈಲದ ಸಾಂಪ್ರದಾಯಿಕ ಧಾರ್ಮಿಕ ನಂಬಿಕೆಗಳೊಂದಿಗೆ ಸಂಬಂಧ ಹೊಂದಿದೆ. ಭಕ್ತರು ಮರದ ಬಳಿ ಪ್ರಾರ್ಥನೆ ಸಲ್ಲಿಸುತ್ತಾರೆ ಮತ್ತು ಆಚರಣೆಗಳನ್ನು ಮಾಡುತ್ತಾರೆ. ಇದನ್ನು ಆಧ್ಯಾತ್ಮಿಕವಾಗಿ ಮಹತ್ವದ್ದಾಗಿದೆ ಎಂದು ಪರಿಗಣಿಸಲಾಗಿದೆ.")</f>
        <v>ಈ ಪವಿತ್ರ ಮರವು ಶ್ರೀಶೈಲದ ಸಾಂಪ್ರದಾಯಿಕ ಧಾರ್ಮಿಕ ನಂಬಿಕೆಗಳೊಂದಿಗೆ ಸಂಬಂಧ ಹೊಂದಿದೆ. ಭಕ್ತರು ಮರದ ಬಳಿ ಪ್ರಾರ್ಥನೆ ಸಲ್ಲಿಸುತ್ತಾರೆ ಮತ್ತು ಆಚರಣೆಗಳನ್ನು ಮಾಡುತ್ತಾರೆ. ಇದನ್ನು ಆಧ್ಯಾತ್ಮಿಕವಾಗಿ ಮಹತ್ವದ್ದಾಗಿದೆ ಎಂದು ಪರಿಗಣಿಸಲಾಗಿದೆ.</v>
      </c>
      <c r="P30" s="10" t="str">
        <f>IFERROR(__xludf.DUMMYFUNCTION("GOOGLETRANSLATE(K30,""en"",""ml"")"),"ശ്രീശൈലത്തിലെ പരമ്പരാഗത മതവിശ്വാസങ്ങളുമായി ഈ പുണ്യവൃക്ഷം ബന്ധപ്പെട്ടിരിക്കുന്നു. ഭക്തർ ഈ വൃക്ഷത്തിന് സമീപം പ്രാർത്ഥനകൾ നടത്തുകയും ആചാരങ്ങൾ അനുഷ്ഠിക്കുകയും ചെയ്യുന്നു. ഇത് ആത്മീയമായി പ്രാധാന്യമുള്ളതായി കണക്കാക്കപ്പെടുന്നു.")</f>
        <v>ശ്രീശൈലത്തിലെ പരമ്പരാഗത മതവിശ്വാസങ്ങളുമായി ഈ പുണ്യവൃക്ഷം ബന്ധപ്പെട്ടിരിക്കുന്നു. ഭക്തർ ഈ വൃക്ഷത്തിന് സമീപം പ്രാർത്ഥനകൾ നടത്തുകയും ആചാരങ്ങൾ അനുഷ്ഠിക്കുകയും ചെയ്യുന്നു. ഇത് ആത്മീയമായി പ്രാധാന്യമുള്ളതായി കണക്കാക്കപ്പെടുന്നു.</v>
      </c>
    </row>
    <row r="31">
      <c r="A31" s="6">
        <f t="shared" si="1"/>
        <v>30</v>
      </c>
      <c r="B31" s="6" t="s">
        <v>142</v>
      </c>
      <c r="C31" s="6">
        <v>16.074165</v>
      </c>
      <c r="D31" s="6">
        <v>78.8686908</v>
      </c>
      <c r="E31" s="5" t="s">
        <v>24</v>
      </c>
      <c r="F31" s="11" t="str">
        <f>IFERROR(__xludf.DUMMYFUNCTION("GOOGLETRANSLATE(B31,""en"",""te"")"),"శ్రీ రాజరాజేశ్వరి దేవి ఆలయం")</f>
        <v>శ్రీ రాజరాజేశ్వరి దేవి ఆలయం</v>
      </c>
      <c r="G31" s="10" t="str">
        <f>IFERROR(__xludf.DUMMYFUNCTION("GOOGLETRANSLATE(B31,""en"",""hi"")"),"श्री राजराजेश्वरी देवी मंदिर")</f>
        <v>श्री राजराजेश्वरी देवी मंदिर</v>
      </c>
      <c r="H31" s="10" t="str">
        <f>IFERROR(__xludf.DUMMYFUNCTION("GOOGLETRANSLATE(B31,""en"",""ta"")"),"ஸ்ரீ ராஜராஜேஸ்வரி தேவி கோவில்")</f>
        <v>ஸ்ரீ ராஜராஜேஸ்வரி தேவி கோவில்</v>
      </c>
      <c r="I31" s="10" t="str">
        <f>IFERROR(__xludf.DUMMYFUNCTION("GOOGLETRANSLATE(B31,""en"",""kn"")"),"ಶ್ರೀ ರಾಜರಾಜೇಶ್ವರಿ ದೇವಿ ದೇವಸ್ಥಾನ")</f>
        <v>ಶ್ರೀ ರಾಜರಾಜೇಶ್ವರಿ ದೇವಿ ದೇವಸ್ಥಾನ</v>
      </c>
      <c r="J31" s="10" t="str">
        <f>IFERROR(__xludf.DUMMYFUNCTION("GOOGLETRANSLATE(B31,""en"",""ml"")"),"ശ്രീ രാജരാജേശ്വരി ദേവി ക്ഷേത്രം")</f>
        <v>ശ്രീ രാജരാജേശ്വരി ദേവി ക്ഷേത്രം</v>
      </c>
      <c r="K31" s="12" t="s">
        <v>143</v>
      </c>
      <c r="L31" s="10" t="str">
        <f>IFERROR(__xludf.DUMMYFUNCTION("GOOGLETRANSLATE(K31,""en"",""te"")"),"ఈ ఆలయం శక్తి స్వరూపమైన రాజరాజేశ్వరి దేవి కి అంకితం చేయబడింది. భక్తులు ఇక్కడ శ్రేయస్సు మరియు ఆధ్యాత్మిక బలం కోసం పూజలు చేస్తారు. ఇది శ్రీశైలంలో ఒక ముఖ్యమైన మతపరమైన ప్రదేశం.")</f>
        <v>ఈ ఆలయం శక్తి స్వరూపమైన రాజరాజేశ్వరి దేవి కి అంకితం చేయబడింది. భక్తులు ఇక్కడ శ్రేయస్సు మరియు ఆధ్యాత్మిక బలం కోసం పూజలు చేస్తారు. ఇది శ్రీశైలంలో ఒక ముఖ్యమైన మతపరమైన ప్రదేశం.</v>
      </c>
      <c r="M31" s="10" t="str">
        <f>IFERROR(__xludf.DUMMYFUNCTION("GOOGLETRANSLATE(K31,""en"",""hi"")"),"यह मंदिर शक्ति की देवी राजराजेश्वरी को समर्पित है। भक्त समृद्धि और आध्यात्मिक शक्ति के लिए यहां पूजा करते हैं। यह श्रीशैलम का एक महत्वपूर्ण धार्मिक स्थल है।")</f>
        <v>यह मंदिर शक्ति की देवी राजराजेश्वरी को समर्पित है। भक्त समृद्धि और आध्यात्मिक शक्ति के लिए यहां पूजा करते हैं। यह श्रीशैलम का एक महत्वपूर्ण धार्मिक स्थल है।</v>
      </c>
      <c r="N31" s="10" t="str">
        <f>IFERROR(__xludf.DUMMYFUNCTION("GOOGLETRANSLATE(K31,""en"",""ta"")"),"இந்த கோயில் சக்தியின் வடிவமான ராஜராஜேஸ்வரி தேவிக்கு அர்ப்பணிக்கப்பட்டுள்ளது. பக்தர்கள் செழிப்பு மற்றும் ஆன்மீக வலிமைக்காக இங்கு வழிபடுகிறார்கள். இது ஸ்ரீசைலத்தில் ஒரு முக்கியமான மதத் தலமாகும்.")</f>
        <v>இந்த கோயில் சக்தியின் வடிவமான ராஜராஜேஸ்வரி தேவிக்கு அர்ப்பணிக்கப்பட்டுள்ளது. பக்தர்கள் செழிப்பு மற்றும் ஆன்மீக வலிமைக்காக இங்கு வழிபடுகிறார்கள். இது ஸ்ரீசைலத்தில் ஒரு முக்கியமான மதத் தலமாகும்.</v>
      </c>
      <c r="O31" s="10" t="str">
        <f>IFERROR(__xludf.DUMMYFUNCTION("GOOGLETRANSLATE(K31,""en"",""kn"")"),"ಈ ದೇವಾಲಯವು ಶಕ್ತಿಯ ರೂಪವಾದ ರಾಜರಾಜೇಶ್ವರಿಗೆ ಅರ್ಪಿತವಾಗಿದೆ. ಭಕ್ತರು ಸಮೃದ್ಧಿ ಮತ್ತು ಆಧ್ಯಾತ್ಮಿಕ ಶಕ್ತಿಗಾಗಿ ಇಲ್ಲಿ ಪೂಜೆ ಸಲ್ಲಿಸುತ್ತಾರೆ. ಇದು ಶ್ರೀಶೈಲದ ಪ್ರಮುಖ ಧಾರ್ಮಿಕ ತಾಣವಾಗಿದೆ.")</f>
        <v>ಈ ದೇವಾಲಯವು ಶಕ್ತಿಯ ರೂಪವಾದ ರಾಜರಾಜೇಶ್ವರಿಗೆ ಅರ್ಪಿತವಾಗಿದೆ. ಭಕ್ತರು ಸಮೃದ್ಧಿ ಮತ್ತು ಆಧ್ಯಾತ್ಮಿಕ ಶಕ್ತಿಗಾಗಿ ಇಲ್ಲಿ ಪೂಜೆ ಸಲ್ಲಿಸುತ್ತಾರೆ. ಇದು ಶ್ರೀಶೈಲದ ಪ್ರಮುಖ ಧಾರ್ಮಿಕ ತಾಣವಾಗಿದೆ.</v>
      </c>
      <c r="P31" s="10" t="str">
        <f>IFERROR(__xludf.DUMMYFUNCTION("GOOGLETRANSLATE(K31,""en"",""ml"")"),"ശക്തിയുടെ ഒരു രൂപമായ രാജരാജേശ്വരി ദേവിയെ ആരാധിക്കുന്ന ക്ഷേത്രമാണിത്. ഭക്തർ ഇവിടെ ആരാധന നടത്തുന്നത് അഭിവൃദ്ധിക്കും ആത്മീയ ശക്തിക്കും വേണ്ടിയാണ്. ശ്രീശൈലത്തിലെ ഒരു പ്രധാന മതകേന്ദ്രമാണിത്.")</f>
        <v>ശക്തിയുടെ ഒരു രൂപമായ രാജരാജേശ്വരി ദേവിയെ ആരാധിക്കുന്ന ക്ഷേത്രമാണിത്. ഭക്തർ ഇവിടെ ആരാധന നടത്തുന്നത് അഭിവൃദ്ധിക്കും ആത്മീയ ശക്തിക്കും വേണ്ടിയാണ്. ശ്രീശൈലത്തിലെ ഒരു പ്രധാന മതകേന്ദ്രമാണിത്.</v>
      </c>
    </row>
    <row r="32">
      <c r="A32" s="6">
        <f t="shared" si="1"/>
        <v>31</v>
      </c>
      <c r="B32" s="6" t="s">
        <v>144</v>
      </c>
      <c r="C32" s="6">
        <v>16.0748613</v>
      </c>
      <c r="D32" s="6">
        <v>78.8681312</v>
      </c>
      <c r="E32" s="5" t="s">
        <v>24</v>
      </c>
      <c r="F32" s="11" t="str">
        <f>IFERROR(__xludf.DUMMYFUNCTION("GOOGLETRANSLATE(B32,""en"",""te"")"),"ఛత్రపతి శివాజీ మహారాజ్ గోపురం")</f>
        <v>ఛత్రపతి శివాజీ మహారాజ్ గోపురం</v>
      </c>
      <c r="G32" s="10" t="str">
        <f>IFERROR(__xludf.DUMMYFUNCTION("GOOGLETRANSLATE(B32,""en"",""hi"")"),"छत्रपति शिवाजी महाराज गोपुरम")</f>
        <v>छत्रपति शिवाजी महाराज गोपुरम</v>
      </c>
      <c r="H32" s="10" t="str">
        <f>IFERROR(__xludf.DUMMYFUNCTION("GOOGLETRANSLATE(B32,""en"",""ta"")"),"சத்ரபதி சிவாஜி மகாராஜ் கோபுரம்")</f>
        <v>சத்ரபதி சிவாஜி மகாராஜ் கோபுரம்</v>
      </c>
      <c r="I32" s="10" t="str">
        <f>IFERROR(__xludf.DUMMYFUNCTION("GOOGLETRANSLATE(B32,""en"",""kn"")"),"ಛತ್ರಪತಿ ಶಿವಾಜಿ ಮಹಾರಾಜ ಗೋಪುರ")</f>
        <v>ಛತ್ರಪತಿ ಶಿವಾಜಿ ಮಹಾರಾಜ ಗೋಪುರ</v>
      </c>
      <c r="J32" s="10" t="str">
        <f>IFERROR(__xludf.DUMMYFUNCTION("GOOGLETRANSLATE(B32,""en"",""ml"")"),"ഛത്രപതി ശിവജി മഹാരാജ് ഗോപുരം")</f>
        <v>ഛത്രപതി ശിവജി മഹാരാജ് ഗോപുരം</v>
      </c>
      <c r="K32" s="12" t="s">
        <v>145</v>
      </c>
      <c r="L32" s="10" t="str">
        <f>IFERROR(__xludf.DUMMYFUNCTION("GOOGLETRANSLATE(K32,""en"",""te"")"),"ఈ గోపురం ఛత్రపతి శివాజీ మహారాజ్ శ్రీశైలం సందర్శన జ్ఞాపకార్థం నిర్మించబడింది. ఇది ఒక ప్రముఖ నిర్మాణ కట్టడంగా నిలుస్తుంది. ఆలయ ప్రాంతాన్ని అన్వేషిస్తున్నప్పుడు సందర్శకులు దీని గుండా వెళతారు.")</f>
        <v>ఈ గోపురం ఛత్రపతి శివాజీ మహారాజ్ శ్రీశైలం సందర్శన జ్ఞాపకార్థం నిర్మించబడింది. ఇది ఒక ప్రముఖ నిర్మాణ కట్టడంగా నిలుస్తుంది. ఆలయ ప్రాంతాన్ని అన్వేషిస్తున్నప్పుడు సందర్శకులు దీని గుండా వెళతారు.</v>
      </c>
      <c r="M32" s="10" t="str">
        <f>IFERROR(__xludf.DUMMYFUNCTION("GOOGLETRANSLATE(K32,""en"",""hi"")"),"यह गोपुरम छत्रपति शिवाजी महाराज की श्रीशैलम यात्रा की स्मृति में बनाया गया था। यह एक प्रमुख स्थापत्य कला का प्रतीक है। मंदिर परिसर का भ्रमण करते समय पर्यटक इसके बीच से होकर गुजरते हैं।")</f>
        <v>यह गोपुरम छत्रपति शिवाजी महाराज की श्रीशैलम यात्रा की स्मृति में बनाया गया था। यह एक प्रमुख स्थापत्य कला का प्रतीक है। मंदिर परिसर का भ्रमण करते समय पर्यटक इसके बीच से होकर गुजरते हैं।</v>
      </c>
      <c r="N32" s="10" t="str">
        <f>IFERROR(__xludf.DUMMYFUNCTION("GOOGLETRANSLATE(K32,""en"",""ta"")"),"சத்ரபதி சிவாஜி மகாராஜின் ஸ்ரீசைலம் வருகையின் நினைவாக இந்த கோபுரம் கட்டப்பட்டது. இது ஒரு முக்கிய கட்டிடக்கலை அடையாளமாக நிற்கிறது. கோயில் பகுதியை ஆராயும்போது பார்வையாளர்கள் அதன் வழியாகச் செல்கிறார்கள்.")</f>
        <v>சத்ரபதி சிவாஜி மகாராஜின் ஸ்ரீசைலம் வருகையின் நினைவாக இந்த கோபுரம் கட்டப்பட்டது. இது ஒரு முக்கிய கட்டிடக்கலை அடையாளமாக நிற்கிறது. கோயில் பகுதியை ஆராயும்போது பார்வையாளர்கள் அதன் வழியாகச் செல்கிறார்கள்.</v>
      </c>
      <c r="O32" s="10" t="str">
        <f>IFERROR(__xludf.DUMMYFUNCTION("GOOGLETRANSLATE(K32,""en"",""kn"")"),"ಈ ಗೋಪುರವನ್ನು ಛತ್ರಪತಿ ಶಿವಾಜಿ ಮಹಾರಾಜರು ಶ್ರೀಶೈಲಕ್ಕೆ ಭೇಟಿ ನೀಡಿದ ನೆನಪಿಗಾಗಿ ನಿರ್ಮಿಸಲಾಗಿದೆ. ಇದು ಒಂದು ಪ್ರಮುಖ ವಾಸ್ತುಶಿಲ್ಪದ ಹೆಗ್ಗುರುತಾಗಿದೆ. ದೇವಾಲಯ ಪ್ರದೇಶವನ್ನು ಅನ್ವೇಷಿಸುವಾಗ ಪ್ರವಾಸಿಗರು ಇದರ ಮೂಲಕ ಹಾದು ಹೋಗುತ್ತಾರೆ.")</f>
        <v>ಈ ಗೋಪುರವನ್ನು ಛತ್ರಪತಿ ಶಿವಾಜಿ ಮಹಾರಾಜರು ಶ್ರೀಶೈಲಕ್ಕೆ ಭೇಟಿ ನೀಡಿದ ನೆನಪಿಗಾಗಿ ನಿರ್ಮಿಸಲಾಗಿದೆ. ಇದು ಒಂದು ಪ್ರಮುಖ ವಾಸ್ತುಶಿಲ್ಪದ ಹೆಗ್ಗುರುತಾಗಿದೆ. ದೇವಾಲಯ ಪ್ರದೇಶವನ್ನು ಅನ್ವೇಷಿಸುವಾಗ ಪ್ರವಾಸಿಗರು ಇದರ ಮೂಲಕ ಹಾದು ಹೋಗುತ್ತಾರೆ.</v>
      </c>
      <c r="P32" s="10" t="str">
        <f>IFERROR(__xludf.DUMMYFUNCTION("GOOGLETRANSLATE(K32,""en"",""ml"")"),"ഛത്രപതി ശിവാജി മഹാരാജിന്റെ ശ്രീശൈലം സന്ദർശനത്തിന്റെ സ്മരണയ്ക്കായി നിർമ്മിച്ചതാണ് ഈ ഗോപുരം. ഇത് ഒരു പ്രമുഖ വാസ്തുവിദ്യാ ലാൻഡ്‌മാർക്കായി നിലകൊള്ളുന്നു. ക്ഷേത്ര പരിസരം പര്യവേക്ഷണം ചെയ്യുമ്പോൾ സന്ദർശകർ ഇതിലൂടെ കടന്നുപോകുന്നു.")</f>
        <v>ഛത്രപതി ശിവാജി മഹാരാജിന്റെ ശ്രീശൈലം സന്ദർശനത്തിന്റെ സ്മരണയ്ക്കായി നിർമ്മിച്ചതാണ് ഈ ഗോപുരം. ഇത് ഒരു പ്രമുഖ വാസ്തുവിദ്യാ ലാൻഡ്‌മാർക്കായി നിലകൊള്ളുന്നു. ക്ഷേത്ര പരിസരം പര്യവേക്ഷണം ചെയ്യുമ്പോൾ സന്ദർശകർ ഇതിലൂടെ കടന്നുപോകുന്നു.</v>
      </c>
    </row>
    <row r="33">
      <c r="A33" s="6">
        <f t="shared" si="1"/>
        <v>32</v>
      </c>
      <c r="B33" s="6" t="s">
        <v>146</v>
      </c>
      <c r="C33" s="6">
        <v>16.0747855</v>
      </c>
      <c r="D33" s="6">
        <v>78.869244</v>
      </c>
      <c r="E33" s="5" t="s">
        <v>24</v>
      </c>
      <c r="F33" s="20" t="s">
        <v>147</v>
      </c>
      <c r="G33" s="8" t="s">
        <v>148</v>
      </c>
      <c r="H33" s="8" t="s">
        <v>149</v>
      </c>
      <c r="I33" s="8" t="s">
        <v>150</v>
      </c>
      <c r="J33" s="10" t="str">
        <f>IFERROR(__xludf.DUMMYFUNCTION("GOOGLETRANSLATE(B33,""en"",""ml"")"),"ശ്രീ മല്ലികാർജുന ക്ഷേത്ര കുണ്ഡ്")</f>
        <v>ശ്രീ മല്ലികാർജുന ക്ഷേത്ര കുണ്ഡ്</v>
      </c>
      <c r="K33" s="12" t="s">
        <v>151</v>
      </c>
      <c r="L33" s="10" t="str">
        <f>IFERROR(__xludf.DUMMYFUNCTION("GOOGLETRANSLATE(K33,""en"",""te"")"),"ఈ పవిత్ర జల కుండ్ మల్లికార్జున ఆలయ ఆచారాలతో ముడిపడి ఉంది. భక్తులు దీనిని శుద్ధి ప్రయోజనాల కోసం ఉపయోగిస్తారు. ఆలయ సంప్రదాయాలలో దీనికి మతపరమైన ప్రాముఖ్యత ఉంది.")</f>
        <v>ఈ పవిత్ర జల కుండ్ మల్లికార్జున ఆలయ ఆచారాలతో ముడిపడి ఉంది. భక్తులు దీనిని శుద్ధి ప్రయోజనాల కోసం ఉపయోగిస్తారు. ఆలయ సంప్రదాయాలలో దీనికి మతపరమైన ప్రాముఖ్యత ఉంది.</v>
      </c>
      <c r="M33" s="10" t="str">
        <f>IFERROR(__xludf.DUMMYFUNCTION("GOOGLETRANSLATE(K33,""en"",""hi"")"),"यह पवित्र जलकुंड मल्लिकार्जुन मंदिर के अनुष्ठानों से जुड़ा हुआ है। भक्त इसका उपयोग शुद्धिकरण के लिए करते हैं। मंदिर की परंपराओं में इसका धार्मिक महत्व है।")</f>
        <v>यह पवित्र जलकुंड मल्लिकार्जुन मंदिर के अनुष्ठानों से जुड़ा हुआ है। भक्त इसका उपयोग शुद्धिकरण के लिए करते हैं। मंदिर की परंपराओं में इसका धार्मिक महत्व है।</v>
      </c>
      <c r="N33" s="10" t="str">
        <f>IFERROR(__xludf.DUMMYFUNCTION("GOOGLETRANSLATE(K33,""en"",""ta"")"),"இந்த புனித நீர் குண்டம் மல்லிகார்ஜுனா கோயிலின் சடங்குகளுடன் தொடர்புடையது. பக்தர்கள் இதை சுத்திகரிப்பு நோக்கங்களுக்காகப் பயன்படுத்துகின்றனர். கோயில் மரபுகளில் இது மத முக்கியத்துவம் வாய்ந்தது.")</f>
        <v>இந்த புனித நீர் குண்டம் மல்லிகார்ஜுனா கோயிலின் சடங்குகளுடன் தொடர்புடையது. பக்தர்கள் இதை சுத்திகரிப்பு நோக்கங்களுக்காகப் பயன்படுத்துகின்றனர். கோயில் மரபுகளில் இது மத முக்கியத்துவம் வாய்ந்தது.</v>
      </c>
      <c r="O33" s="10" t="str">
        <f>IFERROR(__xludf.DUMMYFUNCTION("GOOGLETRANSLATE(K33,""en"",""kn"")"),"ಈ ಪವಿತ್ರ ನೀರಿನ ಕುಂಡವು ಮಲ್ಲಿಕಾರ್ಜುನ ದೇವಾಲಯದ ಆಚರಣೆಗಳೊಂದಿಗೆ ಸಂಬಂಧ ಹೊಂದಿದೆ. ಭಕ್ತರು ಇದನ್ನು ಶುದ್ಧೀಕರಣ ಉದ್ದೇಶಗಳಿಗಾಗಿ ಬಳಸುತ್ತಾರೆ. ದೇವಾಲಯ ಸಂಪ್ರದಾಯಗಳಲ್ಲಿ ಇದು ಧಾರ್ಮಿಕ ಮಹತ್ವವನ್ನು ಹೊಂದಿದೆ.")</f>
        <v>ಈ ಪವಿತ್ರ ನೀರಿನ ಕುಂಡವು ಮಲ್ಲಿಕಾರ್ಜುನ ದೇವಾಲಯದ ಆಚರಣೆಗಳೊಂದಿಗೆ ಸಂಬಂಧ ಹೊಂದಿದೆ. ಭಕ್ತರು ಇದನ್ನು ಶುದ್ಧೀಕರಣ ಉದ್ದೇಶಗಳಿಗಾಗಿ ಬಳಸುತ್ತಾರೆ. ದೇವಾಲಯ ಸಂಪ್ರದಾಯಗಳಲ್ಲಿ ಇದು ಧಾರ್ಮಿಕ ಮಹತ್ವವನ್ನು ಹೊಂದಿದೆ.</v>
      </c>
      <c r="P33" s="10" t="str">
        <f>IFERROR(__xludf.DUMMYFUNCTION("GOOGLETRANSLATE(K33,""en"",""ml"")"),"ഈ പുണ്യജലകുണ്ഡം മല്ലികാർജ്ജുന ക്ഷേത്രത്തിലെ ആചാരങ്ങളുമായി ബന്ധപ്പെട്ടിരിക്കുന്നു. ഭക്തർ ഇത് ശുദ്ധീകരണ ആവശ്യങ്ങൾക്കായി ഉപയോഗിക്കുന്നു. ക്ഷേത്ര പാരമ്പര്യങ്ങളിൽ ഇതിന് മതപരമായ പ്രാധാന്യമുണ്ട്.")</f>
        <v>ഈ പുണ്യജലകുണ്ഡം മല്ലികാർജ്ജുന ക്ഷേത്രത്തിലെ ആചാരങ്ങളുമായി ബന്ധപ്പെട്ടിരിക്കുന്നു. ഭക്തർ ഇത് ശുദ്ധീകരണ ആവശ്യങ്ങൾക്കായി ഉപയോഗിക്കുന്നു. ക്ഷേത്ര പാരമ്പര്യങ്ങളിൽ ഇതിന് മതപരമായ പ്രാധാന്യമുണ്ട്.</v>
      </c>
    </row>
    <row r="34">
      <c r="A34" s="6">
        <f t="shared" si="1"/>
        <v>33</v>
      </c>
      <c r="B34" s="6" t="s">
        <v>152</v>
      </c>
      <c r="C34" s="8">
        <v>16.0889951</v>
      </c>
      <c r="D34" s="21">
        <v>78.9750011</v>
      </c>
      <c r="E34" s="5" t="s">
        <v>24</v>
      </c>
      <c r="F34" s="11" t="str">
        <f>IFERROR(__xludf.DUMMYFUNCTION("GOOGLETRANSLATE(B34,""en"",""te"")"),"ఇష్టకామేశ్వరి దేవి ఆలయం")</f>
        <v>ఇష్టకామేశ్వరి దేవి ఆలయం</v>
      </c>
      <c r="G34" s="10" t="str">
        <f>IFERROR(__xludf.DUMMYFUNCTION("GOOGLETRANSLATE(B34,""en"",""hi"")"),"इष्टकामेश्वरी देवी मंदिर")</f>
        <v>इष्टकामेश्वरी देवी मंदिर</v>
      </c>
      <c r="H34" s="10" t="str">
        <f>IFERROR(__xludf.DUMMYFUNCTION("GOOGLETRANSLATE(B34,""en"",""ta"")"),"இஷ்டகாமேஸ்வரி தேவி கோயில்")</f>
        <v>இஷ்டகாமேஸ்வரி தேவி கோயில்</v>
      </c>
      <c r="I34" s="10" t="str">
        <f>IFERROR(__xludf.DUMMYFUNCTION("GOOGLETRANSLATE(B34,""en"",""kn"")"),"ಇಷ್ಟಕಾಮೇಶ್ವರಿ ದೇವಿ ದೇವಾಲಯ")</f>
        <v>ಇಷ್ಟಕಾಮೇಶ್ವರಿ ದೇವಿ ದೇವಾಲಯ</v>
      </c>
      <c r="J34" s="10" t="str">
        <f>IFERROR(__xludf.DUMMYFUNCTION("GOOGLETRANSLATE(B34,""en"",""ml"")"),"ഇഷ്ടകാമേശ്വരി ദേവി ക്ഷേത്രം")</f>
        <v>ഇഷ്ടകാമേശ്വരി ദേവി ക്ഷേത്രം</v>
      </c>
      <c r="K34" s="12" t="s">
        <v>153</v>
      </c>
      <c r="L34" s="10" t="str">
        <f>IFERROR(__xludf.DUMMYFUNCTION("GOOGLETRANSLATE(K34,""en"",""te"")"),"ఈ ఆలయం శ్రీశైలం అటవీ ప్రాంతంలో ఉన్న ఇష్టకామేశ్వరి దేవి కి అంకితం చేయబడింది. ఇక్కడ హృదయపూర్వక ప్రార్థనలు కోరికలను నెరవేరుస్తాయని భక్తులు నమ్ముతారు. ఇది ఒక ముఖ్యమైన శక్తి క్షేత్రంగా పరిగణించబడుతుంది.")</f>
        <v>ఈ ఆలయం శ్రీశైలం అటవీ ప్రాంతంలో ఉన్న ఇష్టకామేశ్వరి దేవి కి అంకితం చేయబడింది. ఇక్కడ హృదయపూర్వక ప్రార్థనలు కోరికలను నెరవేరుస్తాయని భక్తులు నమ్ముతారు. ఇది ఒక ముఖ్యమైన శక్తి క్షేత్రంగా పరిగణించబడుతుంది.</v>
      </c>
      <c r="M34" s="10" t="str">
        <f>IFERROR(__xludf.DUMMYFUNCTION("GOOGLETRANSLATE(K34,""en"",""hi"")"),"यह मंदिर श्रीशैलम वन क्षेत्र में स्थित है और देवी इष्टकामेश्वरी को समर्पित है। भक्तों का मानना ​​है कि यहां की सच्ची प्रार्थनाएं मनोकामनाएं पूरी करती हैं। इसे एक महत्वपूर्ण शक्ति तीर्थस्थल माना जाता है।")</f>
        <v>यह मंदिर श्रीशैलम वन क्षेत्र में स्थित है और देवी इष्टकामेश्वरी को समर्पित है। भक्तों का मानना ​​है कि यहां की सच्ची प्रार्थनाएं मनोकामनाएं पूरी करती हैं। इसे एक महत्वपूर्ण शक्ति तीर्थस्थल माना जाता है।</v>
      </c>
      <c r="N34" s="10" t="str">
        <f>IFERROR(__xludf.DUMMYFUNCTION("GOOGLETRANSLATE(K34,""en"",""ta"")"),"ஸ்ரீசைலம் வனப்பகுதியில் அமைந்துள்ள இஷ்டகாமேஸ்வரி தேவிக்கு அர்ப்பணிக்கப்பட்ட இந்தக் கோயில். இங்கு பிரார்த்தனை செய்தால் வேண்டுதல்கள் நிறைவேறும் என்று பக்தர்கள் நம்புகிறார்கள். இது ஒரு முக்கியமான சக்தி ஆலயமாகக் கருதப்படுகிறது.")</f>
        <v>ஸ்ரீசைலம் வனப்பகுதியில் அமைந்துள்ள இஷ்டகாமேஸ்வரி தேவிக்கு அர்ப்பணிக்கப்பட்ட இந்தக் கோயில். இங்கு பிரார்த்தனை செய்தால் வேண்டுதல்கள் நிறைவேறும் என்று பக்தர்கள் நம்புகிறார்கள். இது ஒரு முக்கியமான சக்தி ஆலயமாகக் கருதப்படுகிறது.</v>
      </c>
      <c r="O34" s="10" t="str">
        <f>IFERROR(__xludf.DUMMYFUNCTION("GOOGLETRANSLATE(K34,""en"",""kn"")"),"ಈ ದೇವಾಲಯವು ಇಷ್ಟಕಾಮೇಶ್ವರಿ ದೇವಿಗೆ ಸಮರ್ಪಿತವಾಗಿದ್ದು, ಇದು ಶ್ರೀಶೈಲ ಅರಣ್ಯ ಪ್ರದೇಶದಲ್ಲಿದೆ. ಭಕ್ತರು ಇಲ್ಲಿ ಪ್ರಾಮಾಣಿಕ ಪ್ರಾರ್ಥನೆ ಸಲ್ಲಿಸಿದರೆ ಇಷ್ಟಾರ್ಥಗಳು ಈಡೇರುತ್ತವೆ ಎಂದು ನಂಬುತ್ತಾರೆ. ಇದನ್ನು ಪ್ರಮುಖ ಶಕ್ತಿ ದೇವಾಲಯವೆಂದು ಪರಿಗಣಿಸಲಾಗಿದೆ.")</f>
        <v>ಈ ದೇವಾಲಯವು ಇಷ್ಟಕಾಮೇಶ್ವರಿ ದೇವಿಗೆ ಸಮರ್ಪಿತವಾಗಿದ್ದು, ಇದು ಶ್ರೀಶೈಲ ಅರಣ್ಯ ಪ್ರದೇಶದಲ್ಲಿದೆ. ಭಕ್ತರು ಇಲ್ಲಿ ಪ್ರಾಮಾಣಿಕ ಪ್ರಾರ್ಥನೆ ಸಲ್ಲಿಸಿದರೆ ಇಷ್ಟಾರ್ಥಗಳು ಈಡೇರುತ್ತವೆ ಎಂದು ನಂಬುತ್ತಾರೆ. ಇದನ್ನು ಪ್ರಮುಖ ಶಕ್ತಿ ದೇವಾಲಯವೆಂದು ಪರಿಗಣಿಸಲಾಗಿದೆ.</v>
      </c>
      <c r="P34" s="10" t="str">
        <f>IFERROR(__xludf.DUMMYFUNCTION("GOOGLETRANSLATE(K34,""en"",""ml"")"),"ശ്രീശൈലം വനമേഖലയിൽ സ്ഥിതി ചെയ്യുന്ന ഇഷ്ടകാമേശ്വരി ദേവിക്ക് സമർപ്പിച്ചിരിക്കുന്ന ഈ ക്ഷേത്രം. ഇവിടെ ആത്മാർത്ഥമായി പ്രാർത്ഥിക്കുന്നത് ആഗ്രഹങ്ങൾ സഫലീകരിക്കുമെന്ന് ഭക്തർ വിശ്വസിക്കുന്നു. ഇത് ഒരു പ്രധാന ശക്തി ക്ഷേത്രമായി കണക്കാക്കപ്പെടുന്നു.")</f>
        <v>ശ്രീശൈലം വനമേഖലയിൽ സ്ഥിതി ചെയ്യുന്ന ഇഷ്ടകാമേശ്വരി ദേവിക്ക് സമർപ്പിച്ചിരിക്കുന്ന ഈ ക്ഷേത്രം. ഇവിടെ ആത്മാർത്ഥമായി പ്രാർത്ഥിക്കുന്നത് ആഗ്രഹങ്ങൾ സഫലീകരിക്കുമെന്ന് ഭക്തർ വിശ്വസിക്കുന്നു. ഇത് ഒരു പ്രധാന ശക്തി ക്ഷേത്രമായി കണക്കാക്കപ്പെടുന്നു.</v>
      </c>
    </row>
    <row r="35">
      <c r="A35" s="6">
        <f t="shared" si="1"/>
        <v>34</v>
      </c>
      <c r="B35" s="6" t="s">
        <v>154</v>
      </c>
      <c r="C35" s="6">
        <v>16.0729743</v>
      </c>
      <c r="D35" s="6">
        <v>78.8682601</v>
      </c>
      <c r="E35" s="5" t="s">
        <v>24</v>
      </c>
      <c r="F35" s="11" t="str">
        <f>IFERROR(__xludf.DUMMYFUNCTION("GOOGLETRANSLATE(B35,""en"",""te"")"),"శ్రీ ఉమా రామ లింగేశ్వరస్వామి వారి ఆలయం")</f>
        <v>శ్రీ ఉమా రామ లింగేశ్వరస్వామి వారి ఆలయం</v>
      </c>
      <c r="G35" s="10" t="str">
        <f>IFERROR(__xludf.DUMMYFUNCTION("GOOGLETRANSLATE(B35,""en"",""hi"")"),"श्री उमा राम लिंगेश्वरस्वामी वारी मंदिर")</f>
        <v>श्री उमा राम लिंगेश्वरस्वामी वारी मंदिर</v>
      </c>
      <c r="H35" s="10" t="str">
        <f>IFERROR(__xludf.DUMMYFUNCTION("GOOGLETRANSLATE(B35,""en"",""ta"")"),"ஸ்ரீ உமா ராம லிங்கேஸ்வரசுவாமி வாரி ஆலயம்")</f>
        <v>ஸ்ரீ உமா ராம லிங்கேஸ்வரசுவாமி வாரி ஆலயம்</v>
      </c>
      <c r="I35" s="10" t="str">
        <f>IFERROR(__xludf.DUMMYFUNCTION("GOOGLETRANSLATE(B35,""en"",""kn"")"),"ಶ್ರೀ ಉಮಾ ರಾಮ ಲಿಂಗೇಶ್ವರಸ್ವಾಮಿ ವಾರಿ ದೇವಸ್ಥಾನ")</f>
        <v>ಶ್ರೀ ಉಮಾ ರಾಮ ಲಿಂಗೇಶ್ವರಸ್ವಾಮಿ ವಾರಿ ದೇವಸ್ಥಾನ</v>
      </c>
      <c r="J35" s="10" t="str">
        <f>IFERROR(__xludf.DUMMYFUNCTION("GOOGLETRANSLATE(B35,""en"",""ml"")"),"ശ്രീ ഉമാ രാമ ലിംഗേശ്വരസ്വാമി വാരി ക്ഷേത്രം")</f>
        <v>ശ്രീ ഉമാ രാമ ലിംഗേശ്വരസ്വാമി വാരി ക്ഷേത്രം</v>
      </c>
      <c r="K35" s="12" t="s">
        <v>155</v>
      </c>
      <c r="L35" s="10" t="str">
        <f>IFERROR(__xludf.DUMMYFUNCTION("GOOGLETRANSLATE(K35,""en"",""te"")"),"ఈ ఆలయంలో ఉమా, రాముడి అంశాలతో పాటు శివుడిని పూజిస్తారు. ఇది ప్రశాంతమైన వాతావరణానికి ప్రసిద్ధి చెందింది. భక్తులు క్రమం తప్పకుండా ప్రార్థనలు మరియు ఆధ్యాత్మిక ప్రశాంతత కోసం సందర్శిస్తారు.")</f>
        <v>ఈ ఆలయంలో ఉమా, రాముడి అంశాలతో పాటు శివుడిని పూజిస్తారు. ఇది ప్రశాంతమైన వాతావరణానికి ప్రసిద్ధి చెందింది. భక్తులు క్రమం తప్పకుండా ప్రార్థనలు మరియు ఆధ్యాత్మిక ప్రశాంతత కోసం సందర్శిస్తారు.</v>
      </c>
      <c r="M35" s="10" t="str">
        <f>IFERROR(__xludf.DUMMYFUNCTION("GOOGLETRANSLATE(K35,""en"",""hi"")"),"इस मंदिर में भगवान शिव के साथ-साथ उमा और राम के विभिन्न रूपों की भी पूजा की जाती है। यह मंदिर अपने शांत वातावरण के लिए प्रसिद्ध है। भक्त नियमित प्रार्थना और आध्यात्मिक शांति के लिए यहां आते हैं।")</f>
        <v>इस मंदिर में भगवान शिव के साथ-साथ उमा और राम के विभिन्न रूपों की भी पूजा की जाती है। यह मंदिर अपने शांत वातावरण के लिए प्रसिद्ध है। भक्त नियमित प्रार्थना और आध्यात्मिक शांति के लिए यहां आते हैं।</v>
      </c>
      <c r="N35" s="10" t="str">
        <f>IFERROR(__xludf.DUMMYFUNCTION("GOOGLETRANSLATE(K35,""en"",""ta"")"),"இந்த கோயில் உமா மற்றும் ராம அம்சங்களுடன் சிவனை வழிபடுகிறது. இது அமைதியான சூழலுக்கு பெயர் பெற்றது. பக்தர்கள் வழக்கமான பிரார்த்தனை மற்றும் ஆன்மீக அமைதிக்காக இங்கு வருகிறார்கள்.")</f>
        <v>இந்த கோயில் உமா மற்றும் ராம அம்சங்களுடன் சிவனை வழிபடுகிறது. இது அமைதியான சூழலுக்கு பெயர் பெற்றது. பக்தர்கள் வழக்கமான பிரார்த்தனை மற்றும் ஆன்மீக அமைதிக்காக இங்கு வருகிறார்கள்.</v>
      </c>
      <c r="O35" s="10" t="str">
        <f>IFERROR(__xludf.DUMMYFUNCTION("GOOGLETRANSLATE(K35,""en"",""kn"")"),"ಈ ದೇವಾಲಯವು ಉಮಾ ಮತ್ತು ರಾಮನ ಅಂಶಗಳೊಂದಿಗೆ ಶಿವನನ್ನು ಪೂಜಿಸುತ್ತದೆ. ಇದು ತನ್ನ ಶಾಂತ ವಾತಾವರಣಕ್ಕೆ ಹೆಸರುವಾಸಿಯಾಗಿದೆ. ಭಕ್ತರು ನಿಯಮಿತ ಪ್ರಾರ್ಥನೆ ಮತ್ತು ಆಧ್ಯಾತ್ಮಿಕ ಶಾಂತತೆಗಾಗಿ ಇಲ್ಲಿಗೆ ಭೇಟಿ ನೀಡುತ್ತಾರೆ.")</f>
        <v>ಈ ದೇವಾಲಯವು ಉಮಾ ಮತ್ತು ರಾಮನ ಅಂಶಗಳೊಂದಿಗೆ ಶಿವನನ್ನು ಪೂಜಿಸುತ್ತದೆ. ಇದು ತನ್ನ ಶಾಂತ ವಾತಾವರಣಕ್ಕೆ ಹೆಸರುವಾಸಿಯಾಗಿದೆ. ಭಕ್ತರು ನಿಯಮಿತ ಪ್ರಾರ್ಥನೆ ಮತ್ತು ಆಧ್ಯಾತ್ಮಿಕ ಶಾಂತತೆಗಾಗಿ ಇಲ್ಲಿಗೆ ಭೇಟಿ ನೀಡುತ್ತಾರೆ.</v>
      </c>
      <c r="P35" s="10" t="str">
        <f>IFERROR(__xludf.DUMMYFUNCTION("GOOGLETRANSLATE(K35,""en"",""ml"")"),"ഉമ, രാമ എന്നീ ഭാവങ്ങളോടെ ശിവനെ ആരാധിക്കുന്ന ക്ഷേത്രമാണിത്. ശാന്തമായ അന്തരീക്ഷത്തിന് പേരുകേട്ടതാണ് ഇത്. പതിവ് പ്രാർത്ഥനകൾക്കും ആത്മീയ ശാന്തതയ്ക്കുമായി ഭക്തർ ഇവിടെയെത്തുന്നു.")</f>
        <v>ഉമ, രാമ എന്നീ ഭാവങ്ങളോടെ ശിവനെ ആരാധിക്കുന്ന ക്ഷേത്രമാണിത്. ശാന്തമായ അന്തരീക്ഷത്തിന് പേരുകേട്ടതാണ് ഇത്. പതിവ് പ്രാർത്ഥനകൾക്കും ആത്മീയ ശാന്തതയ്ക്കുമായി ഭക്തർ ഇവിടെയെത്തുന്നു.</v>
      </c>
    </row>
    <row r="36">
      <c r="A36" s="6">
        <f t="shared" si="1"/>
        <v>35</v>
      </c>
      <c r="B36" s="6" t="s">
        <v>156</v>
      </c>
      <c r="C36" s="6">
        <v>16.0737398</v>
      </c>
      <c r="D36" s="6">
        <v>78.8720376</v>
      </c>
      <c r="E36" s="5" t="s">
        <v>24</v>
      </c>
      <c r="F36" s="11" t="str">
        <f>IFERROR(__xludf.DUMMYFUNCTION("GOOGLETRANSLATE(B36,""en"",""te"")"),"శ్రీ అంకాలమ్మ గ్రామ దేవత")</f>
        <v>శ్రీ అంకాలమ్మ గ్రామ దేవత</v>
      </c>
      <c r="G36" s="10" t="str">
        <f>IFERROR(__xludf.DUMMYFUNCTION("GOOGLETRANSLATE(B36,""en"",""hi"")"),"श्री अंकलम्मा ग्राम देवता")</f>
        <v>श्री अंकलम्मा ग्राम देवता</v>
      </c>
      <c r="H36" s="10" t="str">
        <f>IFERROR(__xludf.DUMMYFUNCTION("GOOGLETRANSLATE(B36,""en"",""ta"")"),"ஸ்ரீ அங்காளம்மா கிராம தேவதா")</f>
        <v>ஸ்ரீ அங்காளம்மா கிராம தேவதா</v>
      </c>
      <c r="I36" s="10" t="str">
        <f>IFERROR(__xludf.DUMMYFUNCTION("GOOGLETRANSLATE(B36,""en"",""kn"")"),"ಶ್ರೀ ಅಂಕಾಳಮ್ಮ ಗ್ರಾಮ ದೇವತೆ")</f>
        <v>ಶ್ರೀ ಅಂಕಾಳಮ್ಮ ಗ್ರಾಮ ದೇವತೆ</v>
      </c>
      <c r="J36" s="10" t="str">
        <f>IFERROR(__xludf.DUMMYFUNCTION("GOOGLETRANSLATE(B36,""en"",""ml"")"),"ശ്രീ അങ്കളമ്മ ഗ്രാമ ദേവത")</f>
        <v>ശ്രീ അങ്കളമ്മ ഗ്രാമ ദേവത</v>
      </c>
      <c r="K36" s="12" t="s">
        <v>157</v>
      </c>
      <c r="L36" s="10" t="str">
        <f>IFERROR(__xludf.DUMMYFUNCTION("GOOGLETRANSLATE(K36,""en"",""te"")"),"ఈ ఆలయం ఈ ప్రాంత గ్రామ దేవత అంకాలమ్మకు అంకితం చేయబడింది. స్థానికులు రక్షణ మరియు సమాజ శ్రేయస్సు కోసం ఇక్కడ పూజలు చేస్తారు. స్థానిక సంప్రదాయాలలో ఇది ముఖ్యమైన పాత్ర పోషిస్తుంది.")</f>
        <v>ఈ ఆలయం ఈ ప్రాంత గ్రామ దేవత అంకాలమ్మకు అంకితం చేయబడింది. స్థానికులు రక్షణ మరియు సమాజ శ్రేయస్సు కోసం ఇక్కడ పూజలు చేస్తారు. స్థానిక సంప్రదాయాలలో ఇది ముఖ్యమైన పాత్ర పోషిస్తుంది.</v>
      </c>
      <c r="M36" s="10" t="str">
        <f>IFERROR(__xludf.DUMMYFUNCTION("GOOGLETRANSLATE(K36,""en"",""hi"")"),"यह मंदिर इस क्षेत्र की ग्राम देवी अंकलम्मा को समर्पित है। स्थानीय लोग सुरक्षा और सामुदायिक कल्याण के लिए यहां पूजा करते हैं। यह मंदिर स्थानीय परंपराओं में महत्वपूर्ण भूमिका निभाता है।")</f>
        <v>यह मंदिर इस क्षेत्र की ग्राम देवी अंकलम्मा को समर्पित है। स्थानीय लोग सुरक्षा और सामुदायिक कल्याण के लिए यहां पूजा करते हैं। यह मंदिर स्थानीय परंपराओं में महत्वपूर्ण भूमिका निभाता है।</v>
      </c>
      <c r="N36" s="10" t="str">
        <f>IFERROR(__xludf.DUMMYFUNCTION("GOOGLETRANSLATE(K36,""en"",""ta"")"),"இந்த கோயில் இப்பகுதியின் கிராம தெய்வமான அங்காளம்மாவுக்கு அர்ப்பணிக்கப்பட்டுள்ளது. உள்ளூர்வாசிகள் பாதுகாப்பு மற்றும் சமூக நல்வாழ்வுக்காக இங்கு வழிபடுகிறார்கள். இது உள்ளூர் மரபுகளில் முக்கிய பங்கு வகிக்கிறது.")</f>
        <v>இந்த கோயில் இப்பகுதியின் கிராம தெய்வமான அங்காளம்மாவுக்கு அர்ப்பணிக்கப்பட்டுள்ளது. உள்ளூர்வாசிகள் பாதுகாப்பு மற்றும் சமூக நல்வாழ்வுக்காக இங்கு வழிபடுகிறார்கள். இது உள்ளூர் மரபுகளில் முக்கிய பங்கு வகிக்கிறது.</v>
      </c>
      <c r="O36" s="10" t="str">
        <f>IFERROR(__xludf.DUMMYFUNCTION("GOOGLETRANSLATE(K36,""en"",""kn"")"),"ಈ ದೇವಾಲಯವು ಈ ಪ್ರದೇಶದ ಗ್ರಾಮ ದೇವತೆ ಅಂಕಾಳಮ್ಮನಿಗೆ ಸಮರ್ಪಿತವಾಗಿದೆ. ಸ್ಥಳೀಯರು ರಕ್ಷಣೆ ಮತ್ತು ಸಮುದಾಯದ ಯೋಗಕ್ಷೇಮಕ್ಕಾಗಿ ಇಲ್ಲಿ ಪೂಜೆ ಸಲ್ಲಿಸುತ್ತಾರೆ. ಇದು ಸ್ಥಳೀಯ ಸಂಪ್ರದಾಯಗಳಲ್ಲಿ ಪ್ರಮುಖ ಪಾತ್ರ ವಹಿಸುತ್ತದೆ.")</f>
        <v>ಈ ದೇವಾಲಯವು ಈ ಪ್ರದೇಶದ ಗ್ರಾಮ ದೇವತೆ ಅಂಕಾಳಮ್ಮನಿಗೆ ಸಮರ್ಪಿತವಾಗಿದೆ. ಸ್ಥಳೀಯರು ರಕ್ಷಣೆ ಮತ್ತು ಸಮುದಾಯದ ಯೋಗಕ್ಷೇಮಕ್ಕಾಗಿ ಇಲ್ಲಿ ಪೂಜೆ ಸಲ್ಲಿಸುತ್ತಾರೆ. ಇದು ಸ್ಥಳೀಯ ಸಂಪ್ರದಾಯಗಳಲ್ಲಿ ಪ್ರಮುಖ ಪಾತ್ರ ವಹಿಸುತ್ತದೆ.</v>
      </c>
      <c r="P36" s="10" t="str">
        <f>IFERROR(__xludf.DUMMYFUNCTION("GOOGLETRANSLATE(K36,""en"",""ml"")"),"ഈ പ്രദേശത്തെ ഗ്രാമദേവതയായ അങ്കളമ്മയ്ക്ക് സമർപ്പിച്ചിരിക്കുന്ന ക്ഷേത്രമാണിത്. സംരക്ഷണത്തിനും സമൂഹ ക്ഷേമത്തിനും വേണ്ടി നാട്ടുകാർ ഇവിടെ ആരാധന നടത്തുന്നു. പ്രാദേശിക പാരമ്പര്യങ്ങളിൽ ഇത് ഒരു പ്രധാന പങ്ക് വഹിക്കുന്നു.")</f>
        <v>ഈ പ്രദേശത്തെ ഗ്രാമദേവതയായ അങ്കളമ്മയ്ക്ക് സമർപ്പിച്ചിരിക്കുന്ന ക്ഷേത്രമാണിത്. സംരക്ഷണത്തിനും സമൂഹ ക്ഷേമത്തിനും വേണ്ടി നാട്ടുകാർ ഇവിടെ ആരാധന നടത്തുന്നു. പ്രാദേശിക പാരമ്പര്യങ്ങളിൽ ഇത് ഒരു പ്രധാന പങ്ക് വഹിക്കുന്നു.</v>
      </c>
    </row>
    <row r="37">
      <c r="A37" s="6">
        <f t="shared" si="1"/>
        <v>36</v>
      </c>
      <c r="B37" s="6" t="s">
        <v>158</v>
      </c>
      <c r="C37" s="6">
        <v>16.0796664</v>
      </c>
      <c r="D37" s="6">
        <v>78.879296</v>
      </c>
      <c r="E37" s="5" t="s">
        <v>24</v>
      </c>
      <c r="F37" s="11" t="str">
        <f>IFERROR(__xludf.DUMMYFUNCTION("GOOGLETRANSLATE(B37,""en"",""te"")"),"పాతాల గంగా మెట్ల మార్గం")</f>
        <v>పాతాల గంగా మెట్ల మార్గం</v>
      </c>
      <c r="G37" s="10" t="str">
        <f>IFERROR(__xludf.DUMMYFUNCTION("GOOGLETRANSLATE(B37,""en"",""hi"")"),"पथला गंगा स्टेप्स वे")</f>
        <v>पथला गंगा स्टेप्स वे</v>
      </c>
      <c r="H37" s="10" t="str">
        <f>IFERROR(__xludf.DUMMYFUNCTION("GOOGLETRANSLATE(B37,""en"",""ta"")"),"பாதாள கங்கை படிகள் வழி")</f>
        <v>பாதாள கங்கை படிகள் வழி</v>
      </c>
      <c r="I37" s="10" t="str">
        <f>IFERROR(__xludf.DUMMYFUNCTION("GOOGLETRANSLATE(B37,""en"",""kn"")"),"ಪಾತಾಳ ಗಂಗಾ ಮೆಟ್ಟಿಲು ಮಾರ್ಗ")</f>
        <v>ಪಾತಾಳ ಗಂಗಾ ಮೆಟ್ಟಿಲು ಮಾರ್ಗ</v>
      </c>
      <c r="J37" s="10" t="str">
        <f>IFERROR(__xludf.DUMMYFUNCTION("GOOGLETRANSLATE(B37,""en"",""ml"")"),"പാതാള ഗംഗ പടിക്കെട്ടുകൾ")</f>
        <v>പാതാള ഗംഗ പടിക്കെട്ടുകൾ</v>
      </c>
      <c r="K37" s="12" t="s">
        <v>159</v>
      </c>
      <c r="L37" s="10" t="str">
        <f>IFERROR(__xludf.DUMMYFUNCTION("GOOGLETRANSLATE(K37,""en"",""te"")"),"ఈ రాతి మెట్ల మార్గం యాత్రికులను పాతాలగంగకు దారి తీస్తుంది. పవిత్ర నది ఘాట్‌ను చేరుకునే భక్తులు దీనిని ఉపయోగిస్తారు. ఈ మార్గం తీర్థయాత్ర మార్గంలో ఒక ముఖ్యమైన భాగం.")</f>
        <v>ఈ రాతి మెట్ల మార్గం యాత్రికులను పాతాలగంగకు దారి తీస్తుంది. పవిత్ర నది ఘాట్‌ను చేరుకునే భక్తులు దీనిని ఉపయోగిస్తారు. ఈ మార్గం తీర్థయాత్ర మార్గంలో ఒక ముఖ్యమైన భాగం.</v>
      </c>
      <c r="M37" s="10" t="str">
        <f>IFERROR(__xludf.DUMMYFUNCTION("GOOGLETRANSLATE(K37,""en"",""hi"")"),"पत्थर की सीढ़ियों वाला यह मार्ग तीर्थयात्रियों को पातालगंगा नदी तक ले जाता है। इसका उपयोग श्रद्धालु पवित्र नदी घाट तक पहुँचने के लिए करते हैं। यह मार्ग तीर्थयात्रा का एक महत्वपूर्ण हिस्सा है।")</f>
        <v>पत्थर की सीढ़ियों वाला यह मार्ग तीर्थयात्रियों को पातालगंगा नदी तक ले जाता है। इसका उपयोग श्रद्धालु पवित्र नदी घाट तक पहुँचने के लिए करते हैं। यह मार्ग तीर्थयात्रा का एक महत्वपूर्ण हिस्सा है।</v>
      </c>
      <c r="N37" s="10" t="str">
        <f>IFERROR(__xludf.DUMMYFUNCTION("GOOGLETRANSLATE(K37,""en"",""ta"")"),"இந்த கல் படிகள் பாதை யாத்ரீகர்களை பாதாளகங்காவிற்கு அழைத்துச் செல்கிறது. புனித நதி படித்துறையை அணுகும் பக்தர்களால் இது பயன்படுத்தப்படுகிறது. இந்த பாதை யாத்திரைப் பாதையின் ஒரு முக்கிய பகுதியாகும்.")</f>
        <v>இந்த கல் படிகள் பாதை யாத்ரீகர்களை பாதாளகங்காவிற்கு அழைத்துச் செல்கிறது. புனித நதி படித்துறையை அணுகும் பக்தர்களால் இது பயன்படுத்தப்படுகிறது. இந்த பாதை யாத்திரைப் பாதையின் ஒரு முக்கிய பகுதியாகும்.</v>
      </c>
      <c r="O37" s="10" t="str">
        <f>IFERROR(__xludf.DUMMYFUNCTION("GOOGLETRANSLATE(K37,""en"",""kn"")"),"ಈ ಕಲ್ಲಿನ ಮೆಟ್ಟಿಲುಗಳ ಮಾರ್ಗವು ಯಾತ್ರಿಕರನ್ನು ಪಾತಾಳಗಂಗಾಕ್ಕೆ ಕರೆದೊಯ್ಯುತ್ತದೆ. ಪವಿತ್ರ ನದಿ ಘಾಟ್‌ಗೆ ಪ್ರವೇಶಿಸುವ ಭಕ್ತರು ಇದನ್ನು ಬಳಸುತ್ತಾರೆ. ಈ ಮಾರ್ಗವು ತೀರ್ಥಯಾತ್ರೆಯ ಮಾರ್ಗದ ಪ್ರಮುಖ ಭಾಗವಾಗಿದೆ.")</f>
        <v>ಈ ಕಲ್ಲಿನ ಮೆಟ್ಟಿಲುಗಳ ಮಾರ್ಗವು ಯಾತ್ರಿಕರನ್ನು ಪಾತಾಳಗಂಗಾಕ್ಕೆ ಕರೆದೊಯ್ಯುತ್ತದೆ. ಪವಿತ್ರ ನದಿ ಘಾಟ್‌ಗೆ ಪ್ರವೇಶಿಸುವ ಭಕ್ತರು ಇದನ್ನು ಬಳಸುತ್ತಾರೆ. ಈ ಮಾರ್ಗವು ತೀರ್ಥಯಾತ್ರೆಯ ಮಾರ್ಗದ ಪ್ರಮುಖ ಭಾಗವಾಗಿದೆ.</v>
      </c>
      <c r="P37" s="10" t="str">
        <f>IFERROR(__xludf.DUMMYFUNCTION("GOOGLETRANSLATE(K37,""en"",""ml"")"),"ഈ കൽപ്പടവുകൾ നിറഞ്ഞ പാത തീർത്ഥാടകരെ പാതാളഗംഗയിലേക്ക് നയിക്കുന്നു. പുണ്യനദി ഘട്ടിലേക്ക് പ്രവേശിക്കുന്ന ഭക്തർ ഇത് ഉപയോഗിക്കുന്നു. തീർത്ഥാടന പാതയുടെ ഒരു പ്രധാന ഭാഗമാണ് ഈ പാത.")</f>
        <v>ഈ കൽപ്പടവുകൾ നിറഞ്ഞ പാത തീർത്ഥാടകരെ പാതാളഗംഗയിലേക്ക് നയിക്കുന്നു. പുണ്യനദി ഘട്ടിലേക്ക് പ്രവേശിക്കുന്ന ഭക്തർ ഇത് ഉപയോഗിക്കുന്നു. തീർത്ഥാടന പാതയുടെ ഒരു പ്രധാന ഭാഗമാണ് ഈ പാത.</v>
      </c>
    </row>
    <row r="38">
      <c r="A38" s="6">
        <f t="shared" si="1"/>
        <v>37</v>
      </c>
      <c r="B38" s="6" t="s">
        <v>160</v>
      </c>
      <c r="C38" s="6">
        <v>16.0705785</v>
      </c>
      <c r="D38" s="6">
        <v>78.8690176</v>
      </c>
      <c r="E38" s="5" t="s">
        <v>24</v>
      </c>
      <c r="F38" s="11" t="str">
        <f>IFERROR(__xludf.DUMMYFUNCTION("GOOGLETRANSLATE(B38,""en"",""te"")"),"శ్రీ బయలు వీరభద్ర స్వామి దేవాలయం")</f>
        <v>శ్రీ బయలు వీరభద్ర స్వామి దేవాలయం</v>
      </c>
      <c r="G38" s="10" t="str">
        <f>IFERROR(__xludf.DUMMYFUNCTION("GOOGLETRANSLATE(B38,""en"",""hi"")"),"श्री बयालु वीरभद्र स्वामी मंदिर")</f>
        <v>श्री बयालु वीरभद्र स्वामी मंदिर</v>
      </c>
      <c r="H38" s="10" t="str">
        <f>IFERROR(__xludf.DUMMYFUNCTION("GOOGLETRANSLATE(B38,""en"",""ta"")"),"ஸ்ரீ பயலு வீரபத்ர சுவாமி கோவில்")</f>
        <v>ஸ்ரீ பயலு வீரபத்ர சுவாமி கோவில்</v>
      </c>
      <c r="I38" s="10" t="str">
        <f>IFERROR(__xludf.DUMMYFUNCTION("GOOGLETRANSLATE(B38,""en"",""kn"")"),"ಶ್ರೀ ಬಯಲು ವೀರಭದ್ರ ಸ್ವಾಮಿ ದೇವಸ್ಥಾನ")</f>
        <v>ಶ್ರೀ ಬಯಲು ವೀರಭದ್ರ ಸ್ವಾಮಿ ದೇವಸ್ಥಾನ</v>
      </c>
      <c r="J38" s="10" t="str">
        <f>IFERROR(__xludf.DUMMYFUNCTION("GOOGLETRANSLATE(B38,""en"",""ml"")"),"ശ്രീ ബയാലു വീരഭദ്ര സ്വാമി ക്ഷേത്രം")</f>
        <v>ശ്രീ ബയാലു വീരഭദ്ര സ്വാമി ക്ഷേത്രം</v>
      </c>
      <c r="K38" s="12" t="s">
        <v>161</v>
      </c>
      <c r="L38" s="10" t="str">
        <f>IFERROR(__xludf.DUMMYFUNCTION("GOOGLETRANSLATE(K38,""en"",""te"")"),"ఈ బహిరంగ ఆలయం వీరభద్రుడికి అంకితం చేయబడింది. భక్తులు బలం మరియు రక్షణ కోరుతూ ఇక్కడ పూజలు చేస్తారు. శ్రీశైలంలో దీనికి మతపరమైన ప్రాముఖ్యత ఉంది.")</f>
        <v>ఈ బహిరంగ ఆలయం వీరభద్రుడికి అంకితం చేయబడింది. భక్తులు బలం మరియు రక్షణ కోరుతూ ఇక్కడ పూజలు చేస్తారు. శ్రీశైలంలో దీనికి మతపరమైన ప్రాముఖ్యత ఉంది.</v>
      </c>
      <c r="M38" s="10" t="str">
        <f>IFERROR(__xludf.DUMMYFUNCTION("GOOGLETRANSLATE(K38,""en"",""hi"")"),"यह खुला मंदिर भगवान वीरभद्र को समर्पित है। भक्त यहां शक्ति और सुरक्षा की प्राप्ति के लिए पूजा करते हैं। श्रीशैलम में इसका धार्मिक महत्व है।")</f>
        <v>यह खुला मंदिर भगवान वीरभद्र को समर्पित है। भक्त यहां शक्ति और सुरक्षा की प्राप्ति के लिए पूजा करते हैं। श्रीशैलम में इसका धार्मिक महत्व है।</v>
      </c>
      <c r="N38" s="10" t="str">
        <f>IFERROR(__xludf.DUMMYFUNCTION("GOOGLETRANSLATE(K38,""en"",""ta"")"),"இந்த திறந்தவெளி கோயில் வீரபத்திரருக்கு அர்ப்பணிக்கப்பட்டுள்ளது. பக்தர்கள் இங்கு பலத்தையும் பாதுகாப்பையும் நாடி வழிபடுகிறார்கள். இது ஸ்ரீசைலத்தில் மத முக்கியத்துவம் வாய்ந்தது.")</f>
        <v>இந்த திறந்தவெளி கோயில் வீரபத்திரருக்கு அர்ப்பணிக்கப்பட்டுள்ளது. பக்தர்கள் இங்கு பலத்தையும் பாதுகாப்பையும் நாடி வழிபடுகிறார்கள். இது ஸ்ரீசைலத்தில் மத முக்கியத்துவம் வாய்ந்தது.</v>
      </c>
      <c r="O38" s="10" t="str">
        <f>IFERROR(__xludf.DUMMYFUNCTION("GOOGLETRANSLATE(K38,""en"",""kn"")"),"ಈ ತೆರೆದ ದೇವಾಲಯವು ವೀರಭದ್ರ ದೇವರಿಗೆ ಸಮರ್ಪಿತವಾಗಿದೆ. ಭಕ್ತರು ಶಕ್ತಿ ಮತ್ತು ರಕ್ಷಣೆಯನ್ನು ಕೋರಿ ಇಲ್ಲಿ ಪೂಜೆ ಸಲ್ಲಿಸುತ್ತಾರೆ. ಶ್ರೀಶೈಲದಲ್ಲಿ ಇದು ಧಾರ್ಮಿಕ ಮಹತ್ವವನ್ನು ಹೊಂದಿದೆ.")</f>
        <v>ಈ ತೆರೆದ ದೇವಾಲಯವು ವೀರಭದ್ರ ದೇವರಿಗೆ ಸಮರ್ಪಿತವಾಗಿದೆ. ಭಕ್ತರು ಶಕ್ತಿ ಮತ್ತು ರಕ್ಷಣೆಯನ್ನು ಕೋರಿ ಇಲ್ಲಿ ಪೂಜೆ ಸಲ್ಲಿಸುತ್ತಾರೆ. ಶ್ರೀಶೈಲದಲ್ಲಿ ಇದು ಧಾರ್ಮಿಕ ಮಹತ್ವವನ್ನು ಹೊಂದಿದೆ.</v>
      </c>
      <c r="P38" s="10" t="str">
        <f>IFERROR(__xludf.DUMMYFUNCTION("GOOGLETRANSLATE(K38,""en"",""ml"")"),"ഈ തുറസ്സായ ക്ഷേത്രം വീരഭദ്രന് സമർപ്പിച്ചിരിക്കുന്നു. ശക്തിയും സംരക്ഷണവും തേടി ഭക്തർ ഇവിടെ ആരാധന നടത്തുന്നു. ശ്രീശൈലത്ത് ഇതിന് മതപരമായ പ്രാധാന്യമുണ്ട്.")</f>
        <v>ഈ തുറസ്സായ ക്ഷേത്രം വീരഭദ്രന് സമർപ്പിച്ചിരിക്കുന്നു. ശക്തിയും സംരക്ഷണവും തേടി ഭക്തർ ഇവിടെ ആരാധന നടത്തുന്നു. ശ്രീശൈലത്ത് ഇതിന് മതപരമായ പ്രാധാന്യമുണ്ട്.</v>
      </c>
    </row>
    <row r="39">
      <c r="A39" s="6">
        <f t="shared" si="1"/>
        <v>38</v>
      </c>
      <c r="B39" s="6" t="s">
        <v>162</v>
      </c>
      <c r="C39" s="6">
        <v>16.0740658</v>
      </c>
      <c r="D39" s="6">
        <v>78.8691241</v>
      </c>
      <c r="E39" s="5" t="s">
        <v>24</v>
      </c>
      <c r="F39" s="11" t="str">
        <f>IFERROR(__xludf.DUMMYFUNCTION("GOOGLETRANSLATE(B39,""en"",""te"")"),"శ్రీ కాంచి కామకోటి పీఠం")</f>
        <v>శ్రీ కాంచి కామకోటి పీఠం</v>
      </c>
      <c r="G39" s="10" t="str">
        <f>IFERROR(__xludf.DUMMYFUNCTION("GOOGLETRANSLATE(B39,""en"",""hi"")"),"श्री कांची कामकोटी पीठम")</f>
        <v>श्री कांची कामकोटी पीठम</v>
      </c>
      <c r="H39" s="10" t="str">
        <f>IFERROR(__xludf.DUMMYFUNCTION("GOOGLETRANSLATE(B39,""en"",""ta"")"),"ஸ்ரீ காஞ்சி காமகோடி பீடம்")</f>
        <v>ஸ்ரீ காஞ்சி காமகோடி பீடம்</v>
      </c>
      <c r="I39" s="10" t="str">
        <f>IFERROR(__xludf.DUMMYFUNCTION("GOOGLETRANSLATE(B39,""en"",""kn"")"),"ಶ್ರೀ ಕಾಂಚಿ ಕಾಮಕೋಟಿ ಪೀಠ")</f>
        <v>ಶ್ರೀ ಕಾಂಚಿ ಕಾಮಕೋಟಿ ಪೀಠ</v>
      </c>
      <c r="J39" s="10" t="str">
        <f>IFERROR(__xludf.DUMMYFUNCTION("GOOGLETRANSLATE(B39,""en"",""ml"")"),"ശ്രീ കാഞ്ചി കാമകോടി പീഠം")</f>
        <v>ശ്രീ കാഞ്ചി കാമകോടി പീഠം</v>
      </c>
      <c r="K39" s="12" t="s">
        <v>163</v>
      </c>
      <c r="L39" s="10" t="str">
        <f>IFERROR(__xludf.DUMMYFUNCTION("GOOGLETRANSLATE(K39,""en"",""te"")"),"ఈ పీఠం కంచి కామకోటి ఆధ్యాత్మిక సంప్రదాయాన్ని అనుసరిస్తుంది. ఇది ప్రార్థనలు మరియు ఆధ్యాత్మిక కార్యకలాపాలకు మతపరమైన కేంద్రంగా పనిచేస్తుంది. భక్తులు ఆశీర్వాదం మరియు మార్గదర్శకత్వం కోసం సందర్శిస్తారు.")</f>
        <v>ఈ పీఠం కంచి కామకోటి ఆధ్యాత్మిక సంప్రదాయాన్ని అనుసరిస్తుంది. ఇది ప్రార్థనలు మరియు ఆధ్యాత్మిక కార్యకలాపాలకు మతపరమైన కేంద్రంగా పనిచేస్తుంది. భక్తులు ఆశీర్వాదం మరియు మార్గదర్శకత్వం కోసం సందర్శిస్తారు.</v>
      </c>
      <c r="M39" s="10" t="str">
        <f>IFERROR(__xludf.DUMMYFUNCTION("GOOGLETRANSLATE(K39,""en"",""hi"")"),"यह पीठम कांची कामकोटी आध्यात्मिक परंपरा का पालन करता है। यह प्रार्थना और आध्यात्मिक गतिविधियों के लिए एक धार्मिक केंद्र के रूप में कार्य करता है। भक्त आशीर्वाद और मार्गदर्शन के लिए यहां आते हैं।")</f>
        <v>यह पीठम कांची कामकोटी आध्यात्मिक परंपरा का पालन करता है। यह प्रार्थना और आध्यात्मिक गतिविधियों के लिए एक धार्मिक केंद्र के रूप में कार्य करता है। भक्त आशीर्वाद और मार्गदर्शन के लिए यहां आते हैं।</v>
      </c>
      <c r="N39" s="10" t="str">
        <f>IFERROR(__xludf.DUMMYFUNCTION("GOOGLETRANSLATE(K39,""en"",""ta"")"),"இந்த பீடம் காஞ்சி காமகோடி ஆன்மீக மரபைப் பின்பற்றுகிறது. இது பிரார்த்தனைகள் மற்றும் ஆன்மீக நடவடிக்கைகளுக்கான மத மையமாக செயல்படுகிறது. பக்தர்கள் ஆசீர்வாதம் மற்றும் வழிகாட்டுதலுக்காக வருகை தருகின்றனர்.")</f>
        <v>இந்த பீடம் காஞ்சி காமகோடி ஆன்மீக மரபைப் பின்பற்றுகிறது. இது பிரார்த்தனைகள் மற்றும் ஆன்மீக நடவடிக்கைகளுக்கான மத மையமாக செயல்படுகிறது. பக்தர்கள் ஆசீர்வாதம் மற்றும் வழிகாட்டுதலுக்காக வருகை தருகின்றனர்.</v>
      </c>
      <c r="O39" s="10" t="str">
        <f>IFERROR(__xludf.DUMMYFUNCTION("GOOGLETRANSLATE(K39,""en"",""kn"")"),"ಈ ಪೀಠವು ಕಂಚಿ ಕಾಮಕೋಟಿ ಆಧ್ಯಾತ್ಮಿಕ ಸಂಪ್ರದಾಯವನ್ನು ಅನುಸರಿಸುತ್ತದೆ. ಇದು ಪ್ರಾರ್ಥನೆ ಮತ್ತು ಆಧ್ಯಾತ್ಮಿಕ ಚಟುವಟಿಕೆಗಳಿಗೆ ಧಾರ್ಮಿಕ ಕೇಂದ್ರವಾಗಿ ಕಾರ್ಯನಿರ್ವಹಿಸುತ್ತದೆ. ಭಕ್ತರು ಆಶೀರ್ವಾದ ಮತ್ತು ಮಾರ್ಗದರ್ಶನಕ್ಕಾಗಿ ಭೇಟಿ ನೀಡುತ್ತಾರೆ.")</f>
        <v>ಈ ಪೀಠವು ಕಂಚಿ ಕಾಮಕೋಟಿ ಆಧ್ಯಾತ್ಮಿಕ ಸಂಪ್ರದಾಯವನ್ನು ಅನುಸರಿಸುತ್ತದೆ. ಇದು ಪ್ರಾರ್ಥನೆ ಮತ್ತು ಆಧ್ಯಾತ್ಮಿಕ ಚಟುವಟಿಕೆಗಳಿಗೆ ಧಾರ್ಮಿಕ ಕೇಂದ್ರವಾಗಿ ಕಾರ್ಯನಿರ್ವಹಿಸುತ್ತದೆ. ಭಕ್ತರು ಆಶೀರ್ವಾದ ಮತ್ತು ಮಾರ್ಗದರ್ಶನಕ್ಕಾಗಿ ಭೇಟಿ ನೀಡುತ್ತಾರೆ.</v>
      </c>
      <c r="P39" s="10" t="str">
        <f>IFERROR(__xludf.DUMMYFUNCTION("GOOGLETRANSLATE(K39,""en"",""ml"")"),"കാഞ്ചി കാമകോടി ആത്മീയ പാരമ്പര്യത്തെ പിന്തുടരുന്ന ഈ പീഠം പ്രാർത്ഥനകൾക്കും ആത്മീയ പ്രവർത്തനങ്ങൾക്കുമുള്ള ഒരു മതകേന്ദ്രമായി പ്രവർത്തിക്കുന്നു. അനുഗ്രഹങ്ങൾക്കും മാർഗനിർദേശത്തിനുമായി ഭക്തർ ഇവിടെ സന്ദർശിക്കുന്നു.")</f>
        <v>കാഞ്ചി കാമകോടി ആത്മീയ പാരമ്പര്യത്തെ പിന്തുടരുന്ന ഈ പീഠം പ്രാർത്ഥനകൾക്കും ആത്മീയ പ്രവർത്തനങ്ങൾക്കുമുള്ള ഒരു മതകേന്ദ്രമായി പ്രവർത്തിക്കുന്നു. അനുഗ്രഹങ്ങൾക്കും മാർഗനിർദേശത്തിനുമായി ഭക്തർ ഇവിടെ സന്ദർശിക്കുന്നു.</v>
      </c>
    </row>
    <row r="40">
      <c r="A40" s="6">
        <f t="shared" si="1"/>
        <v>39</v>
      </c>
      <c r="B40" s="6" t="s">
        <v>164</v>
      </c>
      <c r="C40" s="6">
        <v>16.0744319</v>
      </c>
      <c r="D40" s="6">
        <v>78.8696398</v>
      </c>
      <c r="E40" s="5" t="s">
        <v>24</v>
      </c>
      <c r="F40" s="11" t="str">
        <f>IFERROR(__xludf.DUMMYFUNCTION("GOOGLETRANSLATE(B40,""en"",""te"")"),"శ్రీ ఆరామ వీరభద్ర స్వామి ఆలయం")</f>
        <v>శ్రీ ఆరామ వీరభద్ర స్వామి ఆలయం</v>
      </c>
      <c r="G40" s="10" t="str">
        <f>IFERROR(__xludf.DUMMYFUNCTION("GOOGLETRANSLATE(B40,""en"",""hi"")"),"श्री आराम वीरभद्र स्वामी आलयम")</f>
        <v>श्री आराम वीरभद्र स्वामी आलयम</v>
      </c>
      <c r="H40" s="10" t="str">
        <f>IFERROR(__xludf.DUMMYFUNCTION("GOOGLETRANSLATE(B40,""en"",""ta"")"),"ஸ்ரீ ஆராம வீரபத்ர ஸ்வாமி ஆலயம்")</f>
        <v>ஸ்ரீ ஆராம வீரபத்ர ஸ்வாமி ஆலயம்</v>
      </c>
      <c r="I40" s="10" t="str">
        <f>IFERROR(__xludf.DUMMYFUNCTION("GOOGLETRANSLATE(B40,""en"",""kn"")"),"ಶ್ರೀ ಆರಾಮ ವೀರಭದ್ರ ಸ್ವಾಮಿ ದೇವಾಲಯ")</f>
        <v>ಶ್ರೀ ಆರಾಮ ವೀರಭದ್ರ ಸ್ವಾಮಿ ದೇವಾಲಯ</v>
      </c>
      <c r="J40" s="10" t="str">
        <f>IFERROR(__xludf.DUMMYFUNCTION("GOOGLETRANSLATE(B40,""en"",""ml"")"),"ശ്രീ ആരാമ വീരഭദ്ര സ്വാമി ആലയം")</f>
        <v>ശ്രീ ആരാമ വീരഭദ്ര സ്വാമി ആലയം</v>
      </c>
      <c r="K40" s="12" t="s">
        <v>165</v>
      </c>
      <c r="L40" s="10" t="str">
        <f>IFERROR(__xludf.DUMMYFUNCTION("GOOGLETRANSLATE(K40,""en"",""te"")"),"ఈ ఆలయం వీరభద్రుడికి అంకితం చేయబడింది మరియు ప్రశాంత వాతావరణంలో ఉంది. భక్తులు పూజలు మరియు ప్రార్థనల కోసం దీనిని సందర్శిస్తారు. ఈ ఆలయం శ్రీశైలం యొక్క మతపరమైన ప్రకృతి దృశ్యంలో భాగం.")</f>
        <v>ఈ ఆలయం వీరభద్రుడికి అంకితం చేయబడింది మరియు ప్రశాంత వాతావరణంలో ఉంది. భక్తులు పూజలు మరియు ప్రార్థనల కోసం దీనిని సందర్శిస్తారు. ఈ ఆలయం శ్రీశైలం యొక్క మతపరమైన ప్రకృతి దృశ్యంలో భాగం.</v>
      </c>
      <c r="M40" s="10" t="str">
        <f>IFERROR(__xludf.DUMMYFUNCTION("GOOGLETRANSLATE(K40,""en"",""hi"")"),"यह मंदिर भगवान वीरभद्र को समर्पित है और शांत वातावरण में स्थित है। श्रद्धालु यहां पूजा-अर्चना के लिए आते हैं। यह मंदिर श्रीशैलम के धार्मिक परिदृश्य का अभिन्न अंग है।")</f>
        <v>यह मंदिर भगवान वीरभद्र को समर्पित है और शांत वातावरण में स्थित है। श्रद्धालु यहां पूजा-अर्चना के लिए आते हैं। यह मंदिर श्रीशैलम के धार्मिक परिदृश्य का अभिन्न अंग है।</v>
      </c>
      <c r="N40" s="10" t="str">
        <f>IFERROR(__xludf.DUMMYFUNCTION("GOOGLETRANSLATE(K40,""en"",""ta"")"),"வீரபத்திரருக்கு அர்ப்பணிக்கப்பட்ட இந்த கோயில் அமைதியான சூழலில் அமைந்துள்ளது. பக்தர்கள் வழிபாடு மற்றும் பிரார்த்தனைக்காக இங்கு வருகிறார்கள். இந்த கோயில் ஸ்ரீசைலத்தின் மத நிலப்பரப்பின் ஒரு பகுதியாகும்.")</f>
        <v>வீரபத்திரருக்கு அர்ப்பணிக்கப்பட்ட இந்த கோயில் அமைதியான சூழலில் அமைந்துள்ளது. பக்தர்கள் வழிபாடு மற்றும் பிரார்த்தனைக்காக இங்கு வருகிறார்கள். இந்த கோயில் ஸ்ரீசைலத்தின் மத நிலப்பரப்பின் ஒரு பகுதியாகும்.</v>
      </c>
      <c r="O40" s="10" t="str">
        <f>IFERROR(__xludf.DUMMYFUNCTION("GOOGLETRANSLATE(K40,""en"",""kn"")"),"ಈ ದೇವಾಲಯವು ವೀರಭದ್ರನಿಗೆ ಸಮರ್ಪಿತವಾಗಿದ್ದು, ಶಾಂತ ವಾತಾವರಣದಲ್ಲಿದೆ. ಭಕ್ತರು ಪೂಜೆ ಮತ್ತು ಪ್ರಾರ್ಥನೆಗಾಗಿ ಇಲ್ಲಿಗೆ ಭೇಟಿ ನೀಡುತ್ತಾರೆ. ಈ ದೇವಾಲಯವು ಶ್ರೀಶೈಲದ ಧಾರ್ಮಿಕ ಭೂದೃಶ್ಯದ ಭಾಗವಾಗಿದೆ.")</f>
        <v>ಈ ದೇವಾಲಯವು ವೀರಭದ್ರನಿಗೆ ಸಮರ್ಪಿತವಾಗಿದ್ದು, ಶಾಂತ ವಾತಾವರಣದಲ್ಲಿದೆ. ಭಕ್ತರು ಪೂಜೆ ಮತ್ತು ಪ್ರಾರ್ಥನೆಗಾಗಿ ಇಲ್ಲಿಗೆ ಭೇಟಿ ನೀಡುತ್ತಾರೆ. ಈ ದೇವಾಲಯವು ಶ್ರೀಶೈಲದ ಧಾರ್ಮಿಕ ಭೂದೃಶ್ಯದ ಭಾಗವಾಗಿದೆ.</v>
      </c>
      <c r="P40" s="10" t="str">
        <f>IFERROR(__xludf.DUMMYFUNCTION("GOOGLETRANSLATE(K40,""en"",""ml"")"),"വീരഭദ്രന് സമർപ്പിച്ചിരിക്കുന്ന ഈ ക്ഷേത്രം ശാന്തമായ അന്തരീക്ഷത്തിലാണ് സ്ഥിതി ചെയ്യുന്നത്. ആരാധനയ്ക്കും പ്രാർത്ഥനയ്ക്കുമായി ഭക്തർ ഇവിടെ സന്ദർശിക്കാറുണ്ട്. ശ്രീശൈലത്തിന്റെ മതപരമായ ഭൂപ്രകൃതിയുടെ ഭാഗമാണ് ഈ ക്ഷേത്രം.")</f>
        <v>വീരഭദ്രന് സമർപ്പിച്ചിരിക്കുന്ന ഈ ക്ഷേത്രം ശാന്തമായ അന്തരീക്ഷത്തിലാണ് സ്ഥിതി ചെയ്യുന്നത്. ആരാധനയ്ക്കും പ്രാർത്ഥനയ്ക്കുമായി ഭക്തർ ഇവിടെ സന്ദർശിക്കാറുണ്ട്. ശ്രീശൈലത്തിന്റെ മതപരമായ ഭൂപ്രകൃതിയുടെ ഭാഗമാണ് ഈ ക്ഷേത്രം.</v>
      </c>
    </row>
    <row r="41">
      <c r="A41" s="6">
        <f t="shared" si="1"/>
        <v>40</v>
      </c>
      <c r="B41" s="6" t="s">
        <v>166</v>
      </c>
      <c r="C41" s="6">
        <v>16.0767842</v>
      </c>
      <c r="D41" s="6">
        <v>78.8734487</v>
      </c>
      <c r="E41" s="5" t="s">
        <v>24</v>
      </c>
      <c r="F41" s="11" t="str">
        <f>IFERROR(__xludf.DUMMYFUNCTION("GOOGLETRANSLATE(B41,""en"",""te"")"),"వారాహి వజ్రేశ్వరి చంద్ర లింగం")</f>
        <v>వారాహి వజ్రేశ్వరి చంద్ర లింగం</v>
      </c>
      <c r="G41" s="10" t="str">
        <f>IFERROR(__xludf.DUMMYFUNCTION("GOOGLETRANSLATE(B41,""en"",""hi"")"),"वाराही वज्रेश्वरी चंद्र लिंगम")</f>
        <v>वाराही वज्रेश्वरी चंद्र लिंगम</v>
      </c>
      <c r="H41" s="10" t="str">
        <f>IFERROR(__xludf.DUMMYFUNCTION("GOOGLETRANSLATE(B41,""en"",""ta"")"),"வாராஹி வஜ்ரேஸ்வரி சந்திர லிங்கம்")</f>
        <v>வாராஹி வஜ்ரேஸ்வரி சந்திர லிங்கம்</v>
      </c>
      <c r="I41" s="10" t="str">
        <f>IFERROR(__xludf.DUMMYFUNCTION("GOOGLETRANSLATE(B41,""en"",""kn"")"),"ವರಾಹಿ ವಜ್ರೇಶ್ವರಿ ಚಂದ್ರ ಲಿಂಗಮ್")</f>
        <v>ವರಾಹಿ ವಜ್ರೇಶ್ವರಿ ಚಂದ್ರ ಲಿಂಗಮ್</v>
      </c>
      <c r="J41" s="10" t="str">
        <f>IFERROR(__xludf.DUMMYFUNCTION("GOOGLETRANSLATE(B41,""en"",""ml"")"),"വരാഹി വജ്രേശ്വരി ചന്ദ്ര ലിംഗം")</f>
        <v>വരാഹി വജ്രേശ്വരി ചന്ദ്ര ലിംഗം</v>
      </c>
      <c r="K41" s="12" t="s">
        <v>167</v>
      </c>
      <c r="L41" s="10" t="str">
        <f>IFERROR(__xludf.DUMMYFUNCTION("GOOGLETRANSLATE(K41,""en"",""te"")"),"ఈ మందిరం వారాహి మరియు వజ్రేశ్వరి రూపాలతో పాటు చంద్ర లింగంతో ముడిపడి ఉంది. శ్రీశైల ఆరాధన సంప్రదాయాలలో దీనికి ఆధ్యాత్మిక ప్రాముఖ్యత ఉంది. భక్తులు దైవిక ఆశీర్వాదాల కోసం సందర్శిస్తారు.")</f>
        <v>ఈ మందిరం వారాహి మరియు వజ్రేశ్వరి రూపాలతో పాటు చంద్ర లింగంతో ముడిపడి ఉంది. శ్రీశైల ఆరాధన సంప్రదాయాలలో దీనికి ఆధ్యాత్మిక ప్రాముఖ్యత ఉంది. భక్తులు దైవిక ఆశీర్వాదాల కోసం సందర్శిస్తారు.</v>
      </c>
      <c r="M41" s="10" t="str">
        <f>IFERROR(__xludf.DUMMYFUNCTION("GOOGLETRANSLATE(K41,""en"",""hi"")"),"यह मंदिर चंद्र लिंगम के साथ-साथ वराही और वज्रेश्वरी रूपों से भी जुड़ा हुआ है। श्रीशैलम की पूजा परंपराओं में इसका आध्यात्मिक महत्व है। भक्त यहां दिव्य आशीर्वाद प्राप्त करने के लिए आते हैं।")</f>
        <v>यह मंदिर चंद्र लिंगम के साथ-साथ वराही और वज्रेश्वरी रूपों से भी जुड़ा हुआ है। श्रीशैलम की पूजा परंपराओं में इसका आध्यात्मिक महत्व है। भक्त यहां दिव्य आशीर्वाद प्राप्त करने के लिए आते हैं।</v>
      </c>
      <c r="N41" s="10" t="str">
        <f>IFERROR(__xludf.DUMMYFUNCTION("GOOGLETRANSLATE(K41,""en"",""ta"")"),"இந்த ஆலயம் வராஹி மற்றும் வஜ்ரேஸ்வரி வடிவங்களுடன் சந்திர லிங்கத்துடன் தொடர்புடையது. ஸ்ரீசைலம் வழிபாட்டு மரபுகளில் இது ஆன்மீக முக்கியத்துவத்தைப் பெற்றுள்ளது. பக்தர்கள் தெய்வீக ஆசீர்வாதங்களுக்காக இங்கு வருகிறார்கள்.")</f>
        <v>இந்த ஆலயம் வராஹி மற்றும் வஜ்ரேஸ்வரி வடிவங்களுடன் சந்திர லிங்கத்துடன் தொடர்புடையது. ஸ்ரீசைலம் வழிபாட்டு மரபுகளில் இது ஆன்மீக முக்கியத்துவத்தைப் பெற்றுள்ளது. பக்தர்கள் தெய்வீக ஆசீர்வாதங்களுக்காக இங்கு வருகிறார்கள்.</v>
      </c>
      <c r="O41" s="10" t="str">
        <f>IFERROR(__xludf.DUMMYFUNCTION("GOOGLETRANSLATE(K41,""en"",""kn"")"),"ಈ ದೇವಾಲಯವು ವಾರಾಹಿ ಮತ್ತು ವಜ್ರೇಶ್ವರಿ ರೂಪಗಳೊಂದಿಗೆ ಚಂದ್ರಲಿಂಗದೊಂದಿಗೆ ಸಂಬಂಧ ಹೊಂದಿದೆ. ಶ್ರೀಶೈಲ ಪೂಜಾ ಸಂಪ್ರದಾಯಗಳಲ್ಲಿ ಇದು ಆಧ್ಯಾತ್ಮಿಕ ಮಹತ್ವವನ್ನು ಹೊಂದಿದೆ. ಭಕ್ತರು ದೈವಿಕ ಆಶೀರ್ವಾದಕ್ಕಾಗಿ ಭೇಟಿ ನೀಡುತ್ತಾರೆ.")</f>
        <v>ಈ ದೇವಾಲಯವು ವಾರಾಹಿ ಮತ್ತು ವಜ್ರೇಶ್ವರಿ ರೂಪಗಳೊಂದಿಗೆ ಚಂದ್ರಲಿಂಗದೊಂದಿಗೆ ಸಂಬಂಧ ಹೊಂದಿದೆ. ಶ್ರೀಶೈಲ ಪೂಜಾ ಸಂಪ್ರದಾಯಗಳಲ್ಲಿ ಇದು ಆಧ್ಯಾತ್ಮಿಕ ಮಹತ್ವವನ್ನು ಹೊಂದಿದೆ. ಭಕ್ತರು ದೈವಿಕ ಆಶೀರ್ವಾದಕ್ಕಾಗಿ ಭೇಟಿ ನೀಡುತ್ತಾರೆ.</v>
      </c>
      <c r="P41" s="10" t="str">
        <f>IFERROR(__xludf.DUMMYFUNCTION("GOOGLETRANSLATE(K41,""en"",""ml"")"),"ഈ ക്ഷേത്രം വാരാഹി, വജ്രേശ്വരി രൂപങ്ങളുമായും ചന്ദ്രലിംഗവുമായും ബന്ധപ്പെട്ടിരിക്കുന്നു. ശ്രീശൈലം ആരാധനാ പാരമ്പര്യങ്ങളിൽ ഇതിന് ആത്മീയ പ്രാധാന്യമുണ്ട്. ദൈവിക അനുഗ്രഹങ്ങൾക്കായി ഭക്തർ ഇവിടെയെത്തുന്നു.")</f>
        <v>ഈ ക്ഷേത്രം വാരാഹി, വജ്രേശ്വരി രൂപങ്ങളുമായും ചന്ദ്രലിംഗവുമായും ബന്ധപ്പെട്ടിരിക്കുന്നു. ശ്രീശൈലം ആരാധനാ പാരമ്പര്യങ്ങളിൽ ഇതിന് ആത്മീയ പ്രാധാന്യമുണ്ട്. ദൈവിക അനുഗ്രഹങ്ങൾക്കായി ഭക്തർ ഇവിടെയെത്തുന്നു.</v>
      </c>
    </row>
    <row r="42">
      <c r="A42" s="6">
        <f t="shared" si="1"/>
        <v>41</v>
      </c>
      <c r="B42" s="17" t="s">
        <v>168</v>
      </c>
      <c r="C42" s="17">
        <v>16.04567</v>
      </c>
      <c r="D42" s="6">
        <v>78.91596</v>
      </c>
      <c r="E42" s="5" t="s">
        <v>24</v>
      </c>
      <c r="F42" s="11" t="str">
        <f>IFERROR(__xludf.DUMMYFUNCTION("GOOGLETRANSLATE(B42,""en"",""te"")"),"శ్రీ శ్రీఖరేశ్వర ఆలయం")</f>
        <v>శ్రీ శ్రీఖరేశ్వర ఆలయం</v>
      </c>
      <c r="G42" s="10" t="str">
        <f>IFERROR(__xludf.DUMMYFUNCTION("GOOGLETRANSLATE(B42,""en"",""hi"")"),"श्री श्रीखरेस्वर मंदिर")</f>
        <v>श्री श्रीखरेस्वर मंदिर</v>
      </c>
      <c r="H42" s="10" t="str">
        <f>IFERROR(__xludf.DUMMYFUNCTION("GOOGLETRANSLATE(B42,""en"",""ta"")"),"ஸ்ரீ ஸ்ரீகரேஸ்வரர் கோயில்")</f>
        <v>ஸ்ரீ ஸ்ரீகரேஸ்வரர் கோயில்</v>
      </c>
      <c r="I42" s="10" t="str">
        <f>IFERROR(__xludf.DUMMYFUNCTION("GOOGLETRANSLATE(B42,""en"",""kn"")"),"ಶ್ರೀ ಶ್ರೀಖರೇಶ್ವರ ದೇವಸ್ಥಾನ")</f>
        <v>ಶ್ರೀ ಶ್ರೀಖರೇಶ್ವರ ದೇವಸ್ಥಾನ</v>
      </c>
      <c r="J42" s="10" t="str">
        <f>IFERROR(__xludf.DUMMYFUNCTION("GOOGLETRANSLATE(B42,""en"",""ml"")"),"ശ്രീ ശ്രീഖരേശ്വര ക്ഷേത്രം")</f>
        <v>ശ്രീ ശ്രീഖരേശ്വര ക്ഷേത്രം</v>
      </c>
      <c r="K42" s="12" t="s">
        <v>169</v>
      </c>
      <c r="L42" s="10" t="str">
        <f>IFERROR(__xludf.DUMMYFUNCTION("GOOGLETRANSLATE(K42,""en"",""te"")"),"ఈ ఆలయం శివుని స్వరూపమైన శ్రీఖరేశ్వరుడికి అంకితం చేయబడింది. ఇది శ్రీశైలంలో ఒక ముఖ్యమైన ఆరాధన స్థలం. భక్తులు ఆశీర్వాదం మరియు ఆధ్యాత్మిక శాంతిని కోరుతూ వస్తారు.")</f>
        <v>ఈ ఆలయం శివుని స్వరూపమైన శ్రీఖరేశ్వరుడికి అంకితం చేయబడింది. ఇది శ్రీశైలంలో ఒక ముఖ్యమైన ఆరాధన స్థలం. భక్తులు ఆశీర్వాదం మరియు ఆధ్యాత్మిక శాంతిని కోరుతూ వస్తారు.</v>
      </c>
      <c r="M42" s="10" t="str">
        <f>IFERROR(__xludf.DUMMYFUNCTION("GOOGLETRANSLATE(K42,""en"",""hi"")"),"यह मंदिर भगवान शिव के एक रूप, भगवान श्रीखेश्वर को समर्पित है। यह श्रीशैलम का एक महत्वपूर्ण पूजा स्थल है। भक्त आशीर्वाद और आध्यात्मिक शांति की प्राप्ति के लिए यहां आते हैं।")</f>
        <v>यह मंदिर भगवान शिव के एक रूप, भगवान श्रीखेश्वर को समर्पित है। यह श्रीशैलम का एक महत्वपूर्ण पूजा स्थल है। भक्त आशीर्वाद और आध्यात्मिक शांति की प्राप्ति के लिए यहां आते हैं।</v>
      </c>
      <c r="N42" s="10" t="str">
        <f>IFERROR(__xludf.DUMMYFUNCTION("GOOGLETRANSLATE(K42,""en"",""ta"")"),"இந்த கோயில் சிவபெருமானின் ஒரு வடிவமான ஸ்ரீகரேஸ்வரருக்கு அர்ப்பணிக்கப்பட்டுள்ளது. இது ஸ்ரீசைலத்தில் உள்ள ஒரு முக்கியமான வழிபாட்டுத் தலமாகும். பக்தர்கள் ஆசீர்வாதங்களையும் ஆன்மீக அமைதியையும் தேடி இங்கு வருகிறார்கள்.")</f>
        <v>இந்த கோயில் சிவபெருமானின் ஒரு வடிவமான ஸ்ரீகரேஸ்வரருக்கு அர்ப்பணிக்கப்பட்டுள்ளது. இது ஸ்ரீசைலத்தில் உள்ள ஒரு முக்கியமான வழிபாட்டுத் தலமாகும். பக்தர்கள் ஆசீர்வாதங்களையும் ஆன்மீக அமைதியையும் தேடி இங்கு வருகிறார்கள்.</v>
      </c>
      <c r="O42" s="10" t="str">
        <f>IFERROR(__xludf.DUMMYFUNCTION("GOOGLETRANSLATE(K42,""en"",""kn"")"),"ಈ ದೇವಾಲಯವು ಶಿವನ ಒಂದು ರೂಪವಾದ ಶ್ರೀಖರೇಶ್ವರ ದೇವರಿಗೆ ಸಮರ್ಪಿತವಾಗಿದೆ. ಇದು ಶ್ರೀಶೈಲದ ಪ್ರಮುಖ ಪೂಜಾ ಸ್ಥಳವಾಗಿದೆ. ಭಕ್ತರು ಆಶೀರ್ವಾದ ಮತ್ತು ಆಧ್ಯಾತ್ಮಿಕ ಶಾಂತಿಯನ್ನು ಪಡೆಯಲು ಇಲ್ಲಿಗೆ ಬರುತ್ತಾರೆ.")</f>
        <v>ಈ ದೇವಾಲಯವು ಶಿವನ ಒಂದು ರೂಪವಾದ ಶ್ರೀಖರೇಶ್ವರ ದೇವರಿಗೆ ಸಮರ್ಪಿತವಾಗಿದೆ. ಇದು ಶ್ರೀಶೈಲದ ಪ್ರಮುಖ ಪೂಜಾ ಸ್ಥಳವಾಗಿದೆ. ಭಕ್ತರು ಆಶೀರ್ವಾದ ಮತ್ತು ಆಧ್ಯಾತ್ಮಿಕ ಶಾಂತಿಯನ್ನು ಪಡೆಯಲು ಇಲ್ಲಿಗೆ ಬರುತ್ತಾರೆ.</v>
      </c>
      <c r="P42" s="10" t="str">
        <f>IFERROR(__xludf.DUMMYFUNCTION("GOOGLETRANSLATE(K42,""en"",""ml"")"),"ശിവന്റെ ഒരു രൂപമായ ശ്രീകരേശ്വര ഭഗവാന് സമർപ്പിച്ചിരിക്കുന്ന ക്ഷേത്രമാണിത്. ശ്രീശൈലത്തിലെ ഒരു പ്രധാന ആരാധനാലയമാണിത്. അനുഗ്രഹവും ആത്മീയ സമാധാനവും തേടി ഭക്തർ ഇവിടെയെത്തുന്നു.")</f>
        <v>ശിവന്റെ ഒരു രൂപമായ ശ്രീകരേശ്വര ഭഗവാന് സമർപ്പിച്ചിരിക്കുന്ന ക്ഷേത്രമാണിത്. ശ്രീശൈലത്തിലെ ഒരു പ്രധാന ആരാധനാലയമാണിത്. അനുഗ്രഹവും ആത്മീയ സമാധാനവും തേടി ഭക്തർ ഇവിടെയെത്തുന്നു.</v>
      </c>
    </row>
    <row r="43">
      <c r="A43" s="6">
        <f t="shared" si="1"/>
        <v>42</v>
      </c>
      <c r="B43" s="6" t="s">
        <v>170</v>
      </c>
      <c r="C43" s="6">
        <v>16.05329</v>
      </c>
      <c r="D43" s="6">
        <v>78.88785</v>
      </c>
      <c r="E43" s="5" t="s">
        <v>24</v>
      </c>
      <c r="F43" s="11" t="str">
        <f>IFERROR(__xludf.DUMMYFUNCTION("GOOGLETRANSLATE(B43,""en"",""te"")"),"శ్రీ శ్రీ శ్రీ లలితా దేవి పీఠం")</f>
        <v>శ్రీ శ్రీ శ్రీ లలితా దేవి పీఠం</v>
      </c>
      <c r="G43" s="10" t="str">
        <f>IFERROR(__xludf.DUMMYFUNCTION("GOOGLETRANSLATE(B43,""en"",""hi"")"),"श्री श्री श्री ललिता देवी पीठम")</f>
        <v>श्री श्री श्री ललिता देवी पीठम</v>
      </c>
      <c r="H43" s="10" t="str">
        <f>IFERROR(__xludf.DUMMYFUNCTION("GOOGLETRANSLATE(B43,""en"",""ta"")"),"ஸ்ரீ ஸ்ரீ ஸ்ரீ லலிதா தேவி பீடம்")</f>
        <v>ஸ்ரீ ஸ்ரீ ஸ்ரீ லலிதா தேவி பீடம்</v>
      </c>
      <c r="I43" s="10" t="str">
        <f>IFERROR(__xludf.DUMMYFUNCTION("GOOGLETRANSLATE(B43,""en"",""kn"")"),"ಶ್ರೀ ಶ್ರೀ ಶ್ರೀ ಲಲಿತಾ ದೇವಿ ಪೀಠ")</f>
        <v>ಶ್ರೀ ಶ್ರೀ ಶ್ರೀ ಲಲಿತಾ ದೇವಿ ಪೀಠ</v>
      </c>
      <c r="J43" s="10" t="str">
        <f>IFERROR(__xludf.DUMMYFUNCTION("GOOGLETRANSLATE(B43,""en"",""ml"")"),"ശ്രീ ശ്രീ ശ്രീ ലളിതാ ദേവി പീഠം")</f>
        <v>ശ്രീ ശ്രീ ശ്രീ ലളിതാ ദേവി പീഠം</v>
      </c>
      <c r="K43" s="12" t="s">
        <v>171</v>
      </c>
      <c r="L43" s="10" t="str">
        <f>IFERROR(__xludf.DUMMYFUNCTION("GOOGLETRANSLATE(K43,""en"",""te"")"),"ఈ పీఠం లలితా దేవికి అంకితం చేయబడింది. ఇది శక్తి ఆరాధన మరియు మతపరమైన ఆచారాలతో ముడిపడి ఉంది. భక్తులు ఆధ్యాత్మిక వృద్ధి మరియు ఆశీర్వాదాల కోసం సందర్శిస్తారు.")</f>
        <v>ఈ పీఠం లలితా దేవికి అంకితం చేయబడింది. ఇది శక్తి ఆరాధన మరియు మతపరమైన ఆచారాలతో ముడిపడి ఉంది. భక్తులు ఆధ్యాత్మిక వృద్ధి మరియు ఆశీర్వాదాల కోసం సందర్శిస్తారు.</v>
      </c>
      <c r="M43" s="10" t="str">
        <f>IFERROR(__xludf.DUMMYFUNCTION("GOOGLETRANSLATE(K43,""en"",""hi"")"),"यह पीठम देवी ललिता देवी को समर्पित है। यह शक्ति पूजा और धार्मिक अनुष्ठानों से जुड़ा हुआ है। भक्त आध्यात्मिक विकास और आशीर्वाद के लिए यहां आते हैं।")</f>
        <v>यह पीठम देवी ललिता देवी को समर्पित है। यह शक्ति पूजा और धार्मिक अनुष्ठानों से जुड़ा हुआ है। भक्त आध्यात्मिक विकास और आशीर्वाद के लिए यहां आते हैं।</v>
      </c>
      <c r="N43" s="10" t="str">
        <f>IFERROR(__xludf.DUMMYFUNCTION("GOOGLETRANSLATE(K43,""en"",""ta"")"),"இந்த பீடம் லலிதா தேவிக்கு அர்ப்பணிக்கப்பட்டுள்ளது. இது சக்தி வழிபாடு மற்றும் மத நடைமுறைகளுடன் தொடர்புடையது. பக்தர்கள் ஆன்மீக வளர்ச்சி மற்றும் ஆசீர்வாதங்களுக்காக வருகை தருகின்றனர்.")</f>
        <v>இந்த பீடம் லலிதா தேவிக்கு அர்ப்பணிக்கப்பட்டுள்ளது. இது சக்தி வழிபாடு மற்றும் மத நடைமுறைகளுடன் தொடர்புடையது. பக்தர்கள் ஆன்மீக வளர்ச்சி மற்றும் ஆசீர்வாதங்களுக்காக வருகை தருகின்றனர்.</v>
      </c>
      <c r="O43" s="10" t="str">
        <f>IFERROR(__xludf.DUMMYFUNCTION("GOOGLETRANSLATE(K43,""en"",""kn"")"),"ಈ ಪೀಠವು ಲಲಿತಾ ದೇವಿಗೆ ಸಮರ್ಪಿತವಾಗಿದೆ. ಇದು ಶಕ್ತಿ ಪೂಜೆ ಮತ್ತು ಧಾರ್ಮಿಕ ಆಚರಣೆಗಳೊಂದಿಗೆ ಸಂಬಂಧ ಹೊಂದಿದೆ. ಭಕ್ತರು ಆಧ್ಯಾತ್ಮಿಕ ಬೆಳವಣಿಗೆ ಮತ್ತು ಆಶೀರ್ವಾದಕ್ಕಾಗಿ ಭೇಟಿ ನೀಡುತ್ತಾರೆ.")</f>
        <v>ಈ ಪೀಠವು ಲಲಿತಾ ದೇವಿಗೆ ಸಮರ್ಪಿತವಾಗಿದೆ. ಇದು ಶಕ್ತಿ ಪೂಜೆ ಮತ್ತು ಧಾರ್ಮಿಕ ಆಚರಣೆಗಳೊಂದಿಗೆ ಸಂಬಂಧ ಹೊಂದಿದೆ. ಭಕ್ತರು ಆಧ್ಯಾತ್ಮಿಕ ಬೆಳವಣಿಗೆ ಮತ್ತು ಆಶೀರ್ವಾದಕ್ಕಾಗಿ ಭೇಟಿ ನೀಡುತ್ತಾರೆ.</v>
      </c>
      <c r="P43" s="10" t="str">
        <f>IFERROR(__xludf.DUMMYFUNCTION("GOOGLETRANSLATE(K43,""en"",""ml"")"),"ലളിതാ ദേവിക്ക് സമർപ്പിച്ചിരിക്കുന്ന ഈ പീഠം ശക്തി ആരാധനയുമായും മതപരമായ ആചാരങ്ങളുമായും ബന്ധപ്പെട്ടിരിക്കുന്നു. ആത്മീയ വളർച്ചയ്ക്കും അനുഗ്രഹത്തിനുമായി ഭക്തർ ഇവിടെ സന്ദർശിക്കുന്നു.")</f>
        <v>ലളിതാ ദേവിക്ക് സമർപ്പിച്ചിരിക്കുന്ന ഈ പീഠം ശക്തി ആരാധനയുമായും മതപരമായ ആചാരങ്ങളുമായും ബന്ധപ്പെട്ടിരിക്കുന്നു. ആത്മീയ വളർച്ചയ്ക്കും അനുഗ്രഹത്തിനുമായി ഭക്തർ ഇവിടെ സന്ദർശിക്കുന്നു.</v>
      </c>
    </row>
    <row r="44">
      <c r="A44" s="6">
        <f t="shared" si="1"/>
        <v>43</v>
      </c>
      <c r="B44" s="8" t="s">
        <v>172</v>
      </c>
      <c r="C44" s="22">
        <v>16.07332</v>
      </c>
      <c r="D44" s="8">
        <v>78.86705</v>
      </c>
      <c r="E44" s="8" t="s">
        <v>24</v>
      </c>
      <c r="F44" s="11" t="str">
        <f>IFERROR(__xludf.DUMMYFUNCTION("GOOGLETRANSLATE(B44,""en"",""te"")"),"శ్రీశైలం దేవస్థానం కళా వేదిక")</f>
        <v>శ్రీశైలం దేవస్థానం కళా వేదిక</v>
      </c>
      <c r="G44" s="8" t="s">
        <v>173</v>
      </c>
      <c r="H44" s="8" t="s">
        <v>174</v>
      </c>
      <c r="I44" s="10" t="str">
        <f>IFERROR(__xludf.DUMMYFUNCTION("GOOGLETRANSLATE(B44,""en"",""kn"")"),"ಶ್ರೀಶೈಲಂ ದೇವಸ್ತಾನಂ ಕಲಾ ವೇದಿಕಾ")</f>
        <v>ಶ್ರೀಶೈಲಂ ದೇವಸ್ತಾನಂ ಕಲಾ ವೇದಿಕಾ</v>
      </c>
      <c r="J44" s="8" t="s">
        <v>175</v>
      </c>
      <c r="K44" s="12" t="s">
        <v>176</v>
      </c>
      <c r="L44" s="10" t="str">
        <f>IFERROR(__xludf.DUMMYFUNCTION("GOOGLETRANSLATE(K44,""en"",""te"")"),"శ్రీశైలం దేవస్థానం కళా వేదిక అనేది శ్రీశైలం దేవస్థానంచే నిర్వహించబడే సాంస్కృతిక మరియు ఆధ్యాత్మిక ఆడిటోరియం.")</f>
        <v>శ్రీశైలం దేవస్థానం కళా వేదిక అనేది శ్రీశైలం దేవస్థానంచే నిర్వహించబడే సాంస్కృతిక మరియు ఆధ్యాత్మిక ఆడిటోరియం.</v>
      </c>
      <c r="M44" s="10" t="str">
        <f>IFERROR(__xludf.DUMMYFUNCTION("GOOGLETRANSLATE(K44,""en"",""hi"")"),"श्रीशैलम देवस्थानम कला वेदिका श्रीशैलम देवस्थानम द्वारा प्रबंधित एक सांस्कृतिक और आध्यात्मिक सभागार है।")</f>
        <v>श्रीशैलम देवस्थानम कला वेदिका श्रीशैलम देवस्थानम द्वारा प्रबंधित एक सांस्कृतिक और आध्यात्मिक सभागार है।</v>
      </c>
      <c r="N44" s="10" t="str">
        <f>IFERROR(__xludf.DUMMYFUNCTION("GOOGLETRANSLATE(K44,""en"",""ta"")"),"ஸ்ரீசைலம் தேவஸ்தானம் கலா வேதிகா என்பது ஸ்ரீசைலம் தேவஸ்தானத்தால் நிர்வகிக்கப்படும் ஒரு கலாச்சார மற்றும் ஆன்மீக அரங்கமாகும்.")</f>
        <v>ஸ்ரீசைலம் தேவஸ்தானம் கலா வேதிகா என்பது ஸ்ரீசைலம் தேவஸ்தானத்தால் நிர்வகிக்கப்படும் ஒரு கலாச்சார மற்றும் ஆன்மீக அரங்கமாகும்.</v>
      </c>
      <c r="O44" s="10" t="str">
        <f>IFERROR(__xludf.DUMMYFUNCTION("GOOGLETRANSLATE(K44,""en"",""kn"")"),"ಶ್ರೀಶೈಲಂ ದೇವಸ್ತಾನಂ ಕಲಾ ವೇದಿಕೆಯು ಶ್ರೀಶೈಲಂ ದೇವಸ್ಥಾನದಿಂದ ನಿರ್ವಹಿಸಲ್ಪಡುವ ಸಾಂಸ್ಕೃತಿಕ ಮತ್ತು ಆಧ್ಯಾತ್ಮಿಕ ಸಭಾಂಗಣವಾಗಿದೆ.")</f>
        <v>ಶ್ರೀಶೈಲಂ ದೇವಸ್ತಾನಂ ಕಲಾ ವೇದಿಕೆಯು ಶ್ರೀಶೈಲಂ ದೇವಸ್ಥಾನದಿಂದ ನಿರ್ವಹಿಸಲ್ಪಡುವ ಸಾಂಸ್ಕೃತಿಕ ಮತ್ತು ಆಧ್ಯಾತ್ಮಿಕ ಸಭಾಂಗಣವಾಗಿದೆ.</v>
      </c>
      <c r="P44" s="10" t="str">
        <f>IFERROR(__xludf.DUMMYFUNCTION("GOOGLETRANSLATE(K44,""en"",""ml"")"),"ശ്രീശൈലം ദേവസ്ഥാനം നിയന്ത്രിക്കുന്ന സാംസ്കാരികവും ആത്മീയവുമായ ഓഡിറ്റോറിയമാണ് ശ്രീശൈലം ദേവസ്ഥാനം കലാ വേദിക.")</f>
        <v>ശ്രീശൈലം ദേവസ്ഥാനം നിയന്ത്രിക്കുന്ന സാംസ്കാരികവും ആത്മീയവുമായ ഓഡിറ്റോറിയമാണ് ശ്രീശൈലം ദേവസ്ഥാനം കലാ വേദിക.</v>
      </c>
    </row>
    <row r="45">
      <c r="A45" s="6">
        <f t="shared" si="1"/>
        <v>44</v>
      </c>
      <c r="B45" s="6" t="s">
        <v>177</v>
      </c>
      <c r="C45" s="6">
        <v>16.0710625</v>
      </c>
      <c r="D45" s="6">
        <v>78.8699375</v>
      </c>
      <c r="E45" s="5" t="s">
        <v>178</v>
      </c>
      <c r="F45" s="11" t="str">
        <f>IFERROR(__xludf.DUMMYFUNCTION("GOOGLETRANSLATE(B45,""en"",""te"")"),"AP టూరిజం హోటల్ - హరిత")</f>
        <v>AP టూరిజం హోటల్ - హరిత</v>
      </c>
      <c r="G45" s="10" t="str">
        <f>IFERROR(__xludf.DUMMYFUNCTION("GOOGLETRANSLATE(B45,""en"",""hi"")"),"एपी टूरिज्म होटल – हरिथा")</f>
        <v>एपी टूरिज्म होटल – हरिथा</v>
      </c>
      <c r="H45" s="10" t="str">
        <f>IFERROR(__xludf.DUMMYFUNCTION("GOOGLETRANSLATE(B45,""en"",""ta"")"),"ஏபி சுற்றுலா ஹோட்டல் - ஹரிதா")</f>
        <v>ஏபி சுற்றுலா ஹோட்டல் - ஹரிதா</v>
      </c>
      <c r="I45" s="10" t="str">
        <f>IFERROR(__xludf.DUMMYFUNCTION("GOOGLETRANSLATE(B45,""en"",""kn"")"),"ಎಪಿ ಪ್ರವಾಸೋದ್ಯಮ ಹೋಟೆಲ್ - ಹರಿತಾ")</f>
        <v>ಎಪಿ ಪ್ರವಾಸೋದ್ಯಮ ಹೋಟೆಲ್ - ಹರಿತಾ</v>
      </c>
      <c r="J45" s="10" t="str">
        <f>IFERROR(__xludf.DUMMYFUNCTION("GOOGLETRANSLATE(B45,""en"",""ml"")"),"എപി ടൂറിസം ഹോട്ടൽ - ഹരിത")</f>
        <v>എപി ടൂറിസം ഹോട്ടൽ - ഹരിത</v>
      </c>
      <c r="K45" s="12" t="s">
        <v>179</v>
      </c>
      <c r="L45" s="10" t="str">
        <f>IFERROR(__xludf.DUMMYFUNCTION("GOOGLETRANSLATE(K45,""en"",""te"")"),"దీనిని మతపరమైన ప్రసంగాలు, సాంస్కృతిక కార్యక్రమాలు, సమావేశాలు మరియు అధికారిక ఆలయ కార్యక్రమాలకు ఉపయోగిస్తారు.")</f>
        <v>దీనిని మతపరమైన ప్రసంగాలు, సాంస్కృతిక కార్యక్రమాలు, సమావేశాలు మరియు అధికారిక ఆలయ కార్యక్రమాలకు ఉపయోగిస్తారు.</v>
      </c>
      <c r="M45" s="10" t="str">
        <f>IFERROR(__xludf.DUMMYFUNCTION("GOOGLETRANSLATE(K45,""en"",""hi"")"),"इसका उपयोग धार्मिक प्रवचनों, सांस्कृतिक कार्यक्रमों, सभाओं और मंदिर के आधिकारिक आयोजनों के लिए किया जाता है।")</f>
        <v>इसका उपयोग धार्मिक प्रवचनों, सांस्कृतिक कार्यक्रमों, सभाओं और मंदिर के आधिकारिक आयोजनों के लिए किया जाता है।</v>
      </c>
      <c r="N45" s="10" t="str">
        <f>IFERROR(__xludf.DUMMYFUNCTION("GOOGLETRANSLATE(K45,""en"",""ta"")"),"இது மத சொற்பொழிவுகள், கலாச்சார நிகழ்ச்சிகள், கூட்டங்கள் மற்றும் அதிகாரப்பூர்வ கோவில் நிகழ்வுகளுக்குப் பயன்படுத்தப்படுகிறது.")</f>
        <v>இது மத சொற்பொழிவுகள், கலாச்சார நிகழ்ச்சிகள், கூட்டங்கள் மற்றும் அதிகாரப்பூர்வ கோவில் நிகழ்வுகளுக்குப் பயன்படுத்தப்படுகிறது.</v>
      </c>
      <c r="O45" s="10" t="str">
        <f>IFERROR(__xludf.DUMMYFUNCTION("GOOGLETRANSLATE(K45,""en"",""kn"")"),"ಇದನ್ನು ಧಾರ್ಮಿಕ ಪ್ರವಚನಗಳು, ಸಾಂಸ್ಕೃತಿಕ ಕಾರ್ಯಕ್ರಮಗಳು, ಸಭೆಗಳು ಮತ್ತು ಅಧಿಕೃತ ದೇವಾಲಯ ಕಾರ್ಯಕ್ರಮಗಳಿಗೆ ಬಳಸಲಾಗುತ್ತದೆ.")</f>
        <v>ಇದನ್ನು ಧಾರ್ಮಿಕ ಪ್ರವಚನಗಳು, ಸಾಂಸ್ಕೃತಿಕ ಕಾರ್ಯಕ್ರಮಗಳು, ಸಭೆಗಳು ಮತ್ತು ಅಧಿಕೃತ ದೇವಾಲಯ ಕಾರ್ಯಕ್ರಮಗಳಿಗೆ ಬಳಸಲಾಗುತ್ತದೆ.</v>
      </c>
      <c r="P45" s="10" t="str">
        <f>IFERROR(__xludf.DUMMYFUNCTION("GOOGLETRANSLATE(K45,""en"",""ml"")"),"മതപ്രഭാഷണങ്ങൾ, സാംസ്കാരിക പരിപാടികൾ, യോഗങ്ങൾ, ഔദ്യോഗിക ക്ഷേത്ര പരിപാടികൾ എന്നിവയ്ക്കായി ഇത് ഉപയോഗിക്കുന്നു.")</f>
        <v>മതപ്രഭാഷണങ്ങൾ, സാംസ്കാരിക പരിപാടികൾ, യോഗങ്ങൾ, ഔദ്യോഗിക ക്ഷേത്ര പരിപാടികൾ എന്നിവയ്ക്കായി ഇത് ഉപയോഗിക്കുന്നു.</v>
      </c>
    </row>
    <row r="46">
      <c r="A46" s="6">
        <f t="shared" si="1"/>
        <v>45</v>
      </c>
      <c r="B46" s="6" t="s">
        <v>180</v>
      </c>
      <c r="C46" s="6">
        <v>16.0773972</v>
      </c>
      <c r="D46" s="6">
        <v>78.8753738</v>
      </c>
      <c r="E46" s="5" t="s">
        <v>178</v>
      </c>
      <c r="F46" s="11" t="str">
        <f>IFERROR(__xludf.DUMMYFUNCTION("GOOGLETRANSLATE(B46,""en"",""te"")"),"శ్రీశైలం ఆన్‌లైన్ రూమ్ బుకింగ్ - OLRB")</f>
        <v>శ్రీశైలం ఆన్‌లైన్ రూమ్ బుకింగ్ - OLRB</v>
      </c>
      <c r="G46" s="10" t="str">
        <f>IFERROR(__xludf.DUMMYFUNCTION("GOOGLETRANSLATE(B46,""en"",""hi"")"),"श्रीशैलम ऑनलाइन रूम बुकिंग - ओएलआरबी")</f>
        <v>श्रीशैलम ऑनलाइन रूम बुकिंग - ओएलआरबी</v>
      </c>
      <c r="H46" s="10" t="str">
        <f>IFERROR(__xludf.DUMMYFUNCTION("GOOGLETRANSLATE(B46,""en"",""ta"")"),"ஸ்ரீசைலம் ஆன்லைன் அறை முன்பதிவு - OLRB")</f>
        <v>ஸ்ரீசைலம் ஆன்லைன் அறை முன்பதிவு - OLRB</v>
      </c>
      <c r="I46" s="10" t="str">
        <f>IFERROR(__xludf.DUMMYFUNCTION("GOOGLETRANSLATE(B46,""en"",""kn"")"),"ಶ್ರೀಶೈಲಂ ಆನ್‌ಲೈನ್ ರೂಮ್ ಬುಕಿಂಗ್ - OLRB")</f>
        <v>ಶ್ರೀಶೈಲಂ ಆನ್‌ಲೈನ್ ರೂಮ್ ಬುಕಿಂಗ್ - OLRB</v>
      </c>
      <c r="J46" s="10" t="str">
        <f>IFERROR(__xludf.DUMMYFUNCTION("GOOGLETRANSLATE(B46,""en"",""ml"")"),"ശ്രീശൈലം ഓൺലൈൻ റൂം ബുക്കിംഗ് - OLRB")</f>
        <v>ശ്രീശൈലം ഓൺലൈൻ റൂം ബുക്കിംഗ് - OLRB</v>
      </c>
      <c r="K46" s="12" t="s">
        <v>181</v>
      </c>
      <c r="L46" s="10" t="str">
        <f>IFERROR(__xludf.DUMMYFUNCTION("GOOGLETRANSLATE(K46,""en"",""te"")"),"శ్రీశైలంలో ఆలయం నిర్వహించే వసతి బుకింగ్ కోసం అధికారిక ఆన్‌లైన్ వ్యవస్థ ఉపయోగించబడుతుంది.")</f>
        <v>శ్రీశైలంలో ఆలయం నిర్వహించే వసతి బుకింగ్ కోసం అధికారిక ఆన్‌లైన్ వ్యవస్థ ఉపయోగించబడుతుంది.</v>
      </c>
      <c r="M46" s="10" t="str">
        <f>IFERROR(__xludf.DUMMYFUNCTION("GOOGLETRANSLATE(K46,""en"",""hi"")"),"श्रीशैलम में मंदिर द्वारा संचालित आवासों की बुकिंग के लिए आधिकारिक ऑनलाइन प्रणाली का उपयोग किया जाता है।")</f>
        <v>श्रीशैलम में मंदिर द्वारा संचालित आवासों की बुकिंग के लिए आधिकारिक ऑनलाइन प्रणाली का उपयोग किया जाता है।</v>
      </c>
      <c r="N46" s="10" t="str">
        <f>IFERROR(__xludf.DUMMYFUNCTION("GOOGLETRANSLATE(K46,""en"",""ta"")"),"ஸ்ரீசைலத்தில் கோயில் நிர்வகிக்கும் தங்குமிடங்களை முன்பதிவு செய்வதற்குப் பயன்படுத்தப்படும் அதிகாரப்பூர்வ ஆன்லைன் அமைப்பு.")</f>
        <v>ஸ்ரீசைலத்தில் கோயில் நிர்வகிக்கும் தங்குமிடங்களை முன்பதிவு செய்வதற்குப் பயன்படுத்தப்படும் அதிகாரப்பூர்வ ஆன்லைன் அமைப்பு.</v>
      </c>
      <c r="O46" s="10" t="str">
        <f>IFERROR(__xludf.DUMMYFUNCTION("GOOGLETRANSLATE(K46,""en"",""kn"")"),"ಶ್ರೀಶೈಲಂನಲ್ಲಿ ದೇವಾಲಯ-ನಿರ್ವಹಣೆಯ ವಸತಿ ಸೌಕರ್ಯಗಳನ್ನು ಕಾಯ್ದಿರಿಸಲು ಅಧಿಕೃತ ಆನ್‌ಲೈನ್ ವ್ಯವಸ್ಥೆಯನ್ನು ಬಳಸಲಾಗುತ್ತದೆ.")</f>
        <v>ಶ್ರೀಶೈಲಂನಲ್ಲಿ ದೇವಾಲಯ-ನಿರ್ವಹಣೆಯ ವಸತಿ ಸೌಕರ್ಯಗಳನ್ನು ಕಾಯ್ದಿರಿಸಲು ಅಧಿಕೃತ ಆನ್‌ಲೈನ್ ವ್ಯವಸ್ಥೆಯನ್ನು ಬಳಸಲಾಗುತ್ತದೆ.</v>
      </c>
      <c r="P46" s="10" t="str">
        <f>IFERROR(__xludf.DUMMYFUNCTION("GOOGLETRANSLATE(K46,""en"",""ml"")"),"ശ്രീശൈലത്ത് ക്ഷേത്രം നിയന്ത്രിക്കുന്ന താമസ സൗകര്യം ബുക്ക് ചെയ്യുന്നതിന് ഉപയോഗിക്കുന്ന ഔദ്യോഗിക ഓൺലൈൻ സംവിധാനം.")</f>
        <v>ശ്രീശൈലത്ത് ക്ഷേത്രം നിയന്ത്രിക്കുന്ന താമസ സൗകര്യം ബുക്ക് ചെയ്യുന്നതിന് ഉപയോഗിക്കുന്ന ഔദ്യോഗിക ഓൺലൈൻ സംവിധാനം.</v>
      </c>
    </row>
    <row r="47">
      <c r="A47" s="6">
        <f t="shared" si="1"/>
        <v>46</v>
      </c>
      <c r="B47" s="6" t="s">
        <v>182</v>
      </c>
      <c r="C47" s="6">
        <v>16.0702627</v>
      </c>
      <c r="D47" s="6">
        <v>78.8701854</v>
      </c>
      <c r="E47" s="5" t="s">
        <v>178</v>
      </c>
      <c r="F47" s="20" t="s">
        <v>183</v>
      </c>
      <c r="G47" s="8" t="s">
        <v>184</v>
      </c>
      <c r="H47" s="8" t="s">
        <v>185</v>
      </c>
      <c r="I47" s="8" t="s">
        <v>186</v>
      </c>
      <c r="J47" s="8" t="s">
        <v>187</v>
      </c>
      <c r="K47" s="12" t="s">
        <v>188</v>
      </c>
      <c r="L47" s="10" t="str">
        <f>IFERROR(__xludf.DUMMYFUNCTION("GOOGLETRANSLATE(K47,""en"",""te"")"),"ప్రధాన ఆలయ ప్రాంతానికి సమీపంలో ప్రాథమిక వసతిని అందించే ఆలయ అనుబంధ అతిథి గృహం.")</f>
        <v>ప్రధాన ఆలయ ప్రాంతానికి సమీపంలో ప్రాథమిక వసతిని అందించే ఆలయ అనుబంధ అతిథి గృహం.</v>
      </c>
      <c r="M47" s="10" t="str">
        <f>IFERROR(__xludf.DUMMYFUNCTION("GOOGLETRANSLATE(K47,""en"",""hi"")"),"मंदिर से जुड़ा अतिथि गृह जो मुख्य मंदिर क्षेत्र के पास बुनियादी आवास सुविधाएं प्रदान करता है।")</f>
        <v>मंदिर से जुड़ा अतिथि गृह जो मुख्य मंदिर क्षेत्र के पास बुनियादी आवास सुविधाएं प्रदान करता है।</v>
      </c>
      <c r="N47" s="10" t="str">
        <f>IFERROR(__xludf.DUMMYFUNCTION("GOOGLETRANSLATE(K47,""en"",""ta"")"),"பிரதான கோயில் பகுதிக்கு அருகில் அடிப்படை தங்குமிட வசதிகளை வழங்கும் கோயில் சார்ந்த விருந்தினர் மாளிகை.")</f>
        <v>பிரதான கோயில் பகுதிக்கு அருகில் அடிப்படை தங்குமிட வசதிகளை வழங்கும் கோயில் சார்ந்த விருந்தினர் மாளிகை.</v>
      </c>
      <c r="O47" s="10" t="str">
        <f>IFERROR(__xludf.DUMMYFUNCTION("GOOGLETRANSLATE(K47,""en"",""kn"")"),"ಮುಖ್ಯ ದೇವಾಲಯದ ಪ್ರದೇಶದ ಬಳಿ ಮೂಲಭೂತ ವಸತಿ ಸೌಲಭ್ಯವನ್ನು ನೀಡುವ ದೇವಾಲಯ-ಸಂಬಂಧಿತ ಅತಿಥಿ ಗೃಹ.")</f>
        <v>ಮುಖ್ಯ ದೇವಾಲಯದ ಪ್ರದೇಶದ ಬಳಿ ಮೂಲಭೂತ ವಸತಿ ಸೌಲಭ್ಯವನ್ನು ನೀಡುವ ದೇವಾಲಯ-ಸಂಬಂಧಿತ ಅತಿಥಿ ಗೃಹ.</v>
      </c>
      <c r="P47" s="10" t="str">
        <f>IFERROR(__xludf.DUMMYFUNCTION("GOOGLETRANSLATE(K47,""en"",""ml"")"),"പ്രധാന ക്ഷേത്ര പരിസരത്തിന് സമീപം അടിസ്ഥാന താമസ സൗകര്യം ഒരുക്കുന്ന ക്ഷേത്രവുമായി ബന്ധപ്പെട്ട അതിഥി മന്ദിരം.")</f>
        <v>പ്രധാന ക്ഷേത്ര പരിസരത്തിന് സമീപം അടിസ്ഥാന താമസ സൗകര്യം ഒരുക്കുന്ന ക്ഷേത്രവുമായി ബന്ധപ്പെട്ട അതിഥി മന്ദിരം.</v>
      </c>
    </row>
    <row r="48">
      <c r="A48" s="6">
        <f t="shared" si="1"/>
        <v>47</v>
      </c>
      <c r="B48" s="6" t="s">
        <v>189</v>
      </c>
      <c r="C48" s="6">
        <v>16.077117</v>
      </c>
      <c r="D48" s="6">
        <v>78.863761</v>
      </c>
      <c r="E48" s="5" t="s">
        <v>178</v>
      </c>
      <c r="F48" s="11" t="str">
        <f>IFERROR(__xludf.DUMMYFUNCTION("GOOGLETRANSLATE(B48,""en"",""te"")"),"రైల్వే గెస్ట్ హౌస్, నీలకంఠ సదన్")</f>
        <v>రైల్వే గెస్ట్ హౌస్, నీలకంఠ సదన్</v>
      </c>
      <c r="G48" s="10" t="str">
        <f>IFERROR(__xludf.DUMMYFUNCTION("GOOGLETRANSLATE(B48,""en"",""hi"")"),"रेलवे गेस्ट हाउस, नीलकंठ सदन")</f>
        <v>रेलवे गेस्ट हाउस, नीलकंठ सदन</v>
      </c>
      <c r="H48" s="10" t="str">
        <f>IFERROR(__xludf.DUMMYFUNCTION("GOOGLETRANSLATE(B48,""en"",""ta"")"),"ரயில்வே விருந்தினர் மாளிகை, நீலகண்ட சதன்")</f>
        <v>ரயில்வே விருந்தினர் மாளிகை, நீலகண்ட சதன்</v>
      </c>
      <c r="I48" s="10" t="str">
        <f>IFERROR(__xludf.DUMMYFUNCTION("GOOGLETRANSLATE(B48,""en"",""kn"")"),"ರೈಲ್ವೇ ಅತಿಥಿ ಗೃಹ, ನೀಲಕಂಠ ಸದನ")</f>
        <v>ರೈಲ್ವೇ ಅತಿಥಿ ಗೃಹ, ನೀಲಕಂಠ ಸದನ</v>
      </c>
      <c r="J48" s="10" t="str">
        <f>IFERROR(__xludf.DUMMYFUNCTION("GOOGLETRANSLATE(B48,""en"",""ml"")"),"റെയിൽവേ ഗസ്റ്റ് ഹൗസ്, നീലകണ്ഠ സദൻ")</f>
        <v>റെയിൽവേ ഗസ്റ്റ് ഹൗസ്, നീലകണ്ഠ സദൻ</v>
      </c>
      <c r="K48" s="12" t="s">
        <v>190</v>
      </c>
      <c r="L48" s="10" t="str">
        <f>IFERROR(__xludf.DUMMYFUNCTION("GOOGLETRANSLATE(K48,""en"",""te"")"),"రైల్వే సిబ్బంది మరియు యాత్రికుల కోసం ప్రాథమిక బస సౌకర్యాలతో కూడిన అతిథి గృహం.")</f>
        <v>రైల్వే సిబ్బంది మరియు యాత్రికుల కోసం ప్రాథమిక బస సౌకర్యాలతో కూడిన అతిథి గృహం.</v>
      </c>
      <c r="M48" s="10" t="str">
        <f>IFERROR(__xludf.DUMMYFUNCTION("GOOGLETRANSLATE(K48,""en"",""hi"")"),"रेलवे कर्मचारियों और तीर्थयात्रियों के लिए बुनियादी सुविधाओं से युक्त गेस्ट हाउस।")</f>
        <v>रेलवे कर्मचारियों और तीर्थयात्रियों के लिए बुनियादी सुविधाओं से युक्त गेस्ट हाउस।</v>
      </c>
      <c r="N48" s="10" t="str">
        <f>IFERROR(__xludf.DUMMYFUNCTION("GOOGLETRANSLATE(K48,""en"",""ta"")"),"ரயில்வே ஊழியர்கள் மற்றும் யாத்ரீகர்களுக்காக அடிப்படை தங்குமிட வசதிகளுடன் பராமரிக்கப்படும் விருந்தினர் மாளிகை.")</f>
        <v>ரயில்வே ஊழியர்கள் மற்றும் யாத்ரீகர்களுக்காக அடிப்படை தங்குமிட வசதிகளுடன் பராமரிக்கப்படும் விருந்தினர் மாளிகை.</v>
      </c>
      <c r="O48" s="10" t="str">
        <f>IFERROR(__xludf.DUMMYFUNCTION("GOOGLETRANSLATE(K48,""en"",""kn"")"),"ರೈಲ್ವೆ ಸಿಬ್ಬಂದಿ ಮತ್ತು ಯಾತ್ರಿಕರಿಗೆ ಮೂಲಭೂತ ವಸತಿ ಸೌಲಭ್ಯಗಳೊಂದಿಗೆ ಅತಿಥಿ ಗೃಹವನ್ನು ನಿರ್ವಹಿಸಲಾಗಿದೆ.")</f>
        <v>ರೈಲ್ವೆ ಸಿಬ್ಬಂದಿ ಮತ್ತು ಯಾತ್ರಿಕರಿಗೆ ಮೂಲಭೂತ ವಸತಿ ಸೌಲಭ್ಯಗಳೊಂದಿಗೆ ಅತಿಥಿ ಗೃಹವನ್ನು ನಿರ್ವಹಿಸಲಾಗಿದೆ.</v>
      </c>
      <c r="P48" s="10" t="str">
        <f>IFERROR(__xludf.DUMMYFUNCTION("GOOGLETRANSLATE(K48,""en"",""ml"")"),"റെയിൽവേ ജീവനക്കാർക്കും തീർഥാടകർക്കും വേണ്ടി അടിസ്ഥാന താമസ സൗകര്യങ്ങളോടെ പരിപാലിക്കുന്ന ഗസ്റ്റ് ഹൗസ്.")</f>
        <v>റെയിൽവേ ജീവനക്കാർക്കും തീർഥാടകർക്കും വേണ്ടി അടിസ്ഥാന താമസ സൗകര്യങ്ങളോടെ പരിപാലിക്കുന്ന ഗസ്റ്റ് ഹൗസ്.</v>
      </c>
    </row>
    <row r="49">
      <c r="A49" s="6">
        <f t="shared" si="1"/>
        <v>48</v>
      </c>
      <c r="B49" s="6" t="s">
        <v>191</v>
      </c>
      <c r="C49" s="6">
        <v>16.07335</v>
      </c>
      <c r="D49" s="6">
        <v>78.87344</v>
      </c>
      <c r="E49" s="5" t="s">
        <v>178</v>
      </c>
      <c r="F49" s="11" t="str">
        <f>IFERROR(__xludf.DUMMYFUNCTION("GOOGLETRANSLATE(B49,""en"",""te"")"),"కర్ణాటక గెస్ట్ హౌస్")</f>
        <v>కర్ణాటక గెస్ట్ హౌస్</v>
      </c>
      <c r="G49" s="10" t="str">
        <f>IFERROR(__xludf.DUMMYFUNCTION("GOOGLETRANSLATE(B49,""en"",""hi"")"),"कर्नाटक गेस्ट हाउस")</f>
        <v>कर्नाटक गेस्ट हाउस</v>
      </c>
      <c r="H49" s="10" t="str">
        <f>IFERROR(__xludf.DUMMYFUNCTION("GOOGLETRANSLATE(B49,""en"",""ta"")"),"கர்நாடகா விருந்தினர் மாளிகை")</f>
        <v>கர்நாடகா விருந்தினர் மாளிகை</v>
      </c>
      <c r="I49" s="10" t="str">
        <f>IFERROR(__xludf.DUMMYFUNCTION("GOOGLETRANSLATE(B49,""en"",""kn"")"),"ಕರ್ನಾಟಕಾ ಗೆಸ್ಟ್ ಹೌಸ್")</f>
        <v>ಕರ್ನಾಟಕಾ ಗೆಸ್ಟ್ ಹೌಸ್</v>
      </c>
      <c r="J49" s="10" t="str">
        <f>IFERROR(__xludf.DUMMYFUNCTION("GOOGLETRANSLATE(B49,""en"",""ml"")"),"കർണാടക ഗസ്റ്റ് ഹൗസ്")</f>
        <v>കർണാടക ഗസ്റ്റ് ഹൗസ്</v>
      </c>
      <c r="K49" s="12" t="s">
        <v>192</v>
      </c>
      <c r="L49" s="10" t="str">
        <f>IFERROR(__xludf.DUMMYFUNCTION("GOOGLETRANSLATE(K49,""en"",""te"")"),"కర్ణాటక రాష్ట్రం నుండి వచ్చే యాత్రికులు ప్రధానంగా ఉపయోగించే వసతి సౌకర్యం.")</f>
        <v>కర్ణాటక రాష్ట్రం నుండి వచ్చే యాత్రికులు ప్రధానంగా ఉపయోగించే వసతి సౌకర్యం.</v>
      </c>
      <c r="M49" s="10" t="str">
        <f>IFERROR(__xludf.DUMMYFUNCTION("GOOGLETRANSLATE(K49,""en"",""hi"")"),"यह आवास सुविधा मुख्य रूप से कर्नाटक राज्य से आने वाले तीर्थयात्रियों द्वारा उपयोग की जाती है।")</f>
        <v>यह आवास सुविधा मुख्य रूप से कर्नाटक राज्य से आने वाले तीर्थयात्रियों द्वारा उपयोग की जाती है।</v>
      </c>
      <c r="N49" s="10" t="str">
        <f>IFERROR(__xludf.DUMMYFUNCTION("GOOGLETRANSLATE(K49,""en"",""ta"")"),"கர்நாடக மாநிலத்திலிருந்து வருகை தரும் யாத்ரீகர்களால் முக்கியமாகப் பயன்படுத்தப்படும் தங்குமிட வசதி.")</f>
        <v>கர்நாடக மாநிலத்திலிருந்து வருகை தரும் யாத்ரீகர்களால் முக்கியமாகப் பயன்படுத்தப்படும் தங்குமிட வசதி.</v>
      </c>
      <c r="O49" s="10" t="str">
        <f>IFERROR(__xludf.DUMMYFUNCTION("GOOGLETRANSLATE(K49,""en"",""kn"")"),"ಕರ್ನಾಟಕ ರಾಜ್ಯದಿಂದ ಭೇಟಿ ನೀಡುವ ಯಾತ್ರಿಕರು ಮುಖ್ಯವಾಗಿ ವಸತಿ ಸೌಲಭ್ಯವನ್ನು ಬಳಸುತ್ತಾರೆ.")</f>
        <v>ಕರ್ನಾಟಕ ರಾಜ್ಯದಿಂದ ಭೇಟಿ ನೀಡುವ ಯಾತ್ರಿಕರು ಮುಖ್ಯವಾಗಿ ವಸತಿ ಸೌಲಭ್ಯವನ್ನು ಬಳಸುತ್ತಾರೆ.</v>
      </c>
      <c r="P49" s="10" t="str">
        <f>IFERROR(__xludf.DUMMYFUNCTION("GOOGLETRANSLATE(K49,""en"",""ml"")"),"കർണാടക സംസ്ഥാനത്ത് നിന്നുള്ള തീർത്ഥാടകരാണ് പ്രധാനമായും താമസ സൗകര്യം ഉപയോഗിക്കുന്നത്.")</f>
        <v>കർണാടക സംസ്ഥാനത്ത് നിന്നുള്ള തീർത്ഥാടകരാണ് പ്രധാനമായും താമസ സൗകര്യം ഉപയോഗിക്കുന്നത്.</v>
      </c>
    </row>
    <row r="50">
      <c r="A50" s="6">
        <f t="shared" si="1"/>
        <v>49</v>
      </c>
      <c r="B50" s="6" t="s">
        <v>193</v>
      </c>
      <c r="C50" s="6">
        <v>16.0786186</v>
      </c>
      <c r="D50" s="6">
        <v>78.8641341</v>
      </c>
      <c r="E50" s="5" t="s">
        <v>178</v>
      </c>
      <c r="F50" s="11" t="str">
        <f>IFERROR(__xludf.DUMMYFUNCTION("GOOGLETRANSLATE(B50,""en"",""te"")"),"రుద్ర కాటేజ్")</f>
        <v>రుద్ర కాటేజ్</v>
      </c>
      <c r="G50" s="10" t="str">
        <f>IFERROR(__xludf.DUMMYFUNCTION("GOOGLETRANSLATE(B50,""en"",""hi"")"),"रुद्र कॉटेज")</f>
        <v>रुद्र कॉटेज</v>
      </c>
      <c r="H50" s="10" t="str">
        <f>IFERROR(__xludf.DUMMYFUNCTION("GOOGLETRANSLATE(B50,""en"",""ta"")"),"ருத்ரா காட்டேஜ்")</f>
        <v>ருத்ரா காட்டேஜ்</v>
      </c>
      <c r="I50" s="10" t="str">
        <f>IFERROR(__xludf.DUMMYFUNCTION("GOOGLETRANSLATE(B50,""en"",""kn"")"),"ರುದ್ರ ಕಾಟೇಜ್")</f>
        <v>ರುದ್ರ ಕಾಟೇಜ್</v>
      </c>
      <c r="J50" s="10" t="str">
        <f>IFERROR(__xludf.DUMMYFUNCTION("GOOGLETRANSLATE(B50,""en"",""ml"")"),"രുദ്ര കോട്ടേജ്")</f>
        <v>രുദ്ര കോട്ടേജ്</v>
      </c>
      <c r="K50" s="12" t="s">
        <v>194</v>
      </c>
      <c r="L50" s="10" t="str">
        <f>IFERROR(__xludf.DUMMYFUNCTION("GOOGLETRANSLATE(K50,""en"",""te"")"),"ఆలయ పరిసరాల దగ్గర సరళమైన వసతిని అందించే యాత్రికుల కుటీరం.")</f>
        <v>ఆలయ పరిసరాల దగ్గర సరళమైన వసతిని అందించే యాత్రికుల కుటీరం.</v>
      </c>
      <c r="M50" s="10" t="str">
        <f>IFERROR(__xludf.DUMMYFUNCTION("GOOGLETRANSLATE(K50,""en"",""hi"")"),"मंदिर परिसर के पास स्थित तीर्थयात्री कुटीर साधारण आवास प्रदान करती है।")</f>
        <v>मंदिर परिसर के पास स्थित तीर्थयात्री कुटीर साधारण आवास प्रदान करती है।</v>
      </c>
      <c r="N50" s="10" t="str">
        <f>IFERROR(__xludf.DUMMYFUNCTION("GOOGLETRANSLATE(K50,""en"",""ta"")"),"கோயில் சுற்றுப்புறத்திற்கு அருகில் எளிய தங்குமிடத்தை வழங்கும் யாத்ரீகர் குடில்.")</f>
        <v>கோயில் சுற்றுப்புறத்திற்கு அருகில் எளிய தங்குமிடத்தை வழங்கும் யாத்ரீகர் குடில்.</v>
      </c>
      <c r="O50" s="10" t="str">
        <f>IFERROR(__xludf.DUMMYFUNCTION("GOOGLETRANSLATE(K50,""en"",""kn"")"),"ದೇವಾಲಯದ ಸುತ್ತಮುತ್ತಲಿನ ಬಳಿ ಸರಳ ವಸತಿ ಸೌಕರ್ಯವನ್ನು ಒದಗಿಸುವ ಯಾತ್ರಿಕರ ಕುಟೀರ.")</f>
        <v>ದೇವಾಲಯದ ಸುತ್ತಮುತ್ತಲಿನ ಬಳಿ ಸರಳ ವಸತಿ ಸೌಕರ್ಯವನ್ನು ಒದಗಿಸುವ ಯಾತ್ರಿಕರ ಕುಟೀರ.</v>
      </c>
      <c r="P50" s="10" t="str">
        <f>IFERROR(__xludf.DUMMYFUNCTION("GOOGLETRANSLATE(K50,""en"",""ml"")"),"ക്ഷേത്ര പരിസരത്ത് ലളിതമായ താമസ സൗകര്യം ഒരുക്കുന്ന തീർത്ഥാടക കോട്ടേജ്.")</f>
        <v>ക്ഷേത്ര പരിസരത്ത് ലളിതമായ താമസ സൗകര്യം ഒരുക്കുന്ന തീർത്ഥാടക കോട്ടേജ്.</v>
      </c>
    </row>
    <row r="51">
      <c r="A51" s="6">
        <f t="shared" si="1"/>
        <v>50</v>
      </c>
      <c r="B51" s="6" t="s">
        <v>195</v>
      </c>
      <c r="C51" s="6">
        <v>16.0769386</v>
      </c>
      <c r="D51" s="6">
        <v>78.8694304</v>
      </c>
      <c r="E51" s="5" t="s">
        <v>178</v>
      </c>
      <c r="F51" s="11" t="str">
        <f>IFERROR(__xludf.DUMMYFUNCTION("GOOGLETRANSLATE(B51,""en"",""te"")"),"కామినేని కాటేజ్")</f>
        <v>కామినేని కాటేజ్</v>
      </c>
      <c r="G51" s="10" t="str">
        <f>IFERROR(__xludf.DUMMYFUNCTION("GOOGLETRANSLATE(B51,""en"",""hi"")"),"कामिनेनी कॉटेज")</f>
        <v>कामिनेनी कॉटेज</v>
      </c>
      <c r="H51" s="10" t="str">
        <f>IFERROR(__xludf.DUMMYFUNCTION("GOOGLETRANSLATE(B51,""en"",""ta"")"),"காமினேனி குடில்")</f>
        <v>காமினேனி குடில்</v>
      </c>
      <c r="I51" s="10" t="str">
        <f>IFERROR(__xludf.DUMMYFUNCTION("GOOGLETRANSLATE(B51,""en"",""kn"")"),"ಕಾಮಿನೇನಿ ಕಾಟೇಜ್")</f>
        <v>ಕಾಮಿನೇನಿ ಕಾಟೇಜ್</v>
      </c>
      <c r="J51" s="10" t="str">
        <f>IFERROR(__xludf.DUMMYFUNCTION("GOOGLETRANSLATE(B51,""en"",""ml"")"),"കാമിനേനി കോട്ടേജ്")</f>
        <v>കാമിനേനി കോട്ടേജ്</v>
      </c>
      <c r="K51" s="12" t="s">
        <v>194</v>
      </c>
      <c r="L51" s="10" t="str">
        <f>IFERROR(__xludf.DUMMYFUNCTION("GOOGLETRANSLATE(K51,""en"",""te"")"),"ఆలయ పరిసరాల దగ్గర సరళమైన వసతిని అందించే యాత్రికుల కుటీరం.")</f>
        <v>ఆలయ పరిసరాల దగ్గర సరళమైన వసతిని అందించే యాత్రికుల కుటీరం.</v>
      </c>
      <c r="M51" s="10" t="str">
        <f>IFERROR(__xludf.DUMMYFUNCTION("GOOGLETRANSLATE(K51,""en"",""hi"")"),"मंदिर परिसर के पास स्थित तीर्थयात्री कुटीर साधारण आवास प्रदान करती है।")</f>
        <v>मंदिर परिसर के पास स्थित तीर्थयात्री कुटीर साधारण आवास प्रदान करती है।</v>
      </c>
      <c r="N51" s="10" t="str">
        <f>IFERROR(__xludf.DUMMYFUNCTION("GOOGLETRANSLATE(K51,""en"",""ta"")"),"கோயில் சுற்றுப்புறத்திற்கு அருகில் எளிய தங்குமிடத்தை வழங்கும் யாத்ரீகர் குடில்.")</f>
        <v>கோயில் சுற்றுப்புறத்திற்கு அருகில் எளிய தங்குமிடத்தை வழங்கும் யாத்ரீகர் குடில்.</v>
      </c>
      <c r="O51" s="10" t="str">
        <f>IFERROR(__xludf.DUMMYFUNCTION("GOOGLETRANSLATE(K51,""en"",""kn"")"),"ದೇವಾಲಯದ ಸುತ್ತಮುತ್ತಲಿನ ಬಳಿ ಸರಳ ವಸತಿ ಸೌಕರ್ಯವನ್ನು ಒದಗಿಸುವ ಯಾತ್ರಿಕರ ಕುಟೀರ.")</f>
        <v>ದೇವಾಲಯದ ಸುತ್ತಮುತ್ತಲಿನ ಬಳಿ ಸರಳ ವಸತಿ ಸೌಕರ್ಯವನ್ನು ಒದಗಿಸುವ ಯಾತ್ರಿಕರ ಕುಟೀರ.</v>
      </c>
      <c r="P51" s="10" t="str">
        <f>IFERROR(__xludf.DUMMYFUNCTION("GOOGLETRANSLATE(K51,""en"",""ml"")"),"ക്ഷേത്ര പരിസരത്ത് ലളിതമായ താമസ സൗകര്യം ഒരുക്കുന്ന തീർത്ഥാടക കോട്ടേജ്.")</f>
        <v>ക്ഷേത്ര പരിസരത്ത് ലളിതമായ താമസ സൗകര്യം ഒരുക്കുന്ന തീർത്ഥാടക കോട്ടേജ്.</v>
      </c>
    </row>
    <row r="52">
      <c r="A52" s="6">
        <f t="shared" si="1"/>
        <v>51</v>
      </c>
      <c r="B52" s="6" t="s">
        <v>196</v>
      </c>
      <c r="C52" s="6">
        <v>16.0767993</v>
      </c>
      <c r="D52" s="6">
        <v>78.8698227</v>
      </c>
      <c r="E52" s="5" t="s">
        <v>178</v>
      </c>
      <c r="F52" s="11" t="str">
        <f>IFERROR(__xludf.DUMMYFUNCTION("GOOGLETRANSLATE(B52,""en"",""te"")"),"ఆదిత్య కాటేజ్")</f>
        <v>ఆదిత్య కాటేజ్</v>
      </c>
      <c r="G52" s="10" t="str">
        <f>IFERROR(__xludf.DUMMYFUNCTION("GOOGLETRANSLATE(B52,""en"",""hi"")"),"आदित्य कॉटेज")</f>
        <v>आदित्य कॉटेज</v>
      </c>
      <c r="H52" s="10" t="str">
        <f>IFERROR(__xludf.DUMMYFUNCTION("GOOGLETRANSLATE(B52,""en"",""ta"")"),"ஆதித்யா காட்டேஜ்")</f>
        <v>ஆதித்யா காட்டேஜ்</v>
      </c>
      <c r="I52" s="10" t="str">
        <f>IFERROR(__xludf.DUMMYFUNCTION("GOOGLETRANSLATE(B52,""en"",""kn"")"),"ಆದಿತ್ಯ ಕಾಟೆಜ್")</f>
        <v>ಆದಿತ್ಯ ಕಾಟೆಜ್</v>
      </c>
      <c r="J52" s="10" t="str">
        <f>IFERROR(__xludf.DUMMYFUNCTION("GOOGLETRANSLATE(B52,""en"",""ml"")"),"ആദിത്യ കോട്ടേജ്")</f>
        <v>ആദിത്യ കോട്ടേജ്</v>
      </c>
      <c r="K52" s="12" t="s">
        <v>197</v>
      </c>
      <c r="L52" s="10" t="str">
        <f>IFERROR(__xludf.DUMMYFUNCTION("GOOGLETRANSLATE(K52,""en"",""te"")"),"కుటుంబాలకు మరియు స్వల్పకాలిక యాత్రికుల బసలకు అనువైన కుటీర తరహా వసతి.")</f>
        <v>కుటుంబాలకు మరియు స్వల్పకాలిక యాత్రికుల బసలకు అనువైన కుటీర తరహా వసతి.</v>
      </c>
      <c r="M52" s="10" t="str">
        <f>IFERROR(__xludf.DUMMYFUNCTION("GOOGLETRANSLATE(K52,""en"",""hi"")"),"कॉटेज शैली का आवास परिवारों और अल्पकालिक तीर्थयात्रियों के लिए उपयुक्त है।")</f>
        <v>कॉटेज शैली का आवास परिवारों और अल्पकालिक तीर्थयात्रियों के लिए उपयुक्त है।</v>
      </c>
      <c r="N52" s="10" t="str">
        <f>IFERROR(__xludf.DUMMYFUNCTION("GOOGLETRANSLATE(K52,""en"",""ta"")"),"குடும்பங்களுக்கும் குறுகிய கால யாத்ரீகர் தங்கல்களுக்கும் ஏற்ற குடில் பாணி தங்குமிடம்.")</f>
        <v>குடும்பங்களுக்கும் குறுகிய கால யாத்ரீகர் தங்கல்களுக்கும் ஏற்ற குடில் பாணி தங்குமிடம்.</v>
      </c>
      <c r="O52" s="10" t="str">
        <f>IFERROR(__xludf.DUMMYFUNCTION("GOOGLETRANSLATE(K52,""en"",""kn"")"),"ಕುಟುಂಬಗಳಿಗೆ ಮತ್ತು ಅಲ್ಪಾವಧಿಯ ಯಾತ್ರಿಕ ವಾಸ್ತವ್ಯಕ್ಕೆ ಸೂಕ್ತವಾದ ಕಾಟೇಜ್ ಶೈಲಿಯ ವಸತಿ.")</f>
        <v>ಕುಟುಂಬಗಳಿಗೆ ಮತ್ತು ಅಲ್ಪಾವಧಿಯ ಯಾತ್ರಿಕ ವಾಸ್ತವ್ಯಕ್ಕೆ ಸೂಕ್ತವಾದ ಕಾಟೇಜ್ ಶೈಲಿಯ ವಸತಿ.</v>
      </c>
      <c r="P52" s="10" t="str">
        <f>IFERROR(__xludf.DUMMYFUNCTION("GOOGLETRANSLATE(K52,""en"",""ml"")"),"കുടുംബങ്ങൾക്കും ഹ്രസ്വ തീർത്ഥാടന താമസങ്ങൾക്കും അനുയോജ്യമായ കോട്ടേജ് ശൈലിയിലുള്ള താമസസൗകര്യം.")</f>
        <v>കുടുംബങ്ങൾക്കും ഹ്രസ്വ തീർത്ഥാടന താമസങ്ങൾക്കും അനുയോജ്യമായ കോട്ടേജ് ശൈലിയിലുള്ള താമസസൗകര്യം.</v>
      </c>
    </row>
    <row r="53">
      <c r="A53" s="6">
        <f t="shared" si="1"/>
        <v>52</v>
      </c>
      <c r="B53" s="6" t="s">
        <v>198</v>
      </c>
      <c r="C53" s="6">
        <v>16.0765265</v>
      </c>
      <c r="D53" s="6">
        <v>78.870399</v>
      </c>
      <c r="E53" s="5" t="s">
        <v>178</v>
      </c>
      <c r="F53" s="11" t="str">
        <f>IFERROR(__xludf.DUMMYFUNCTION("GOOGLETRANSLATE(B53,""en"",""te"")"),"విష్ణు వల్లభ")</f>
        <v>విష్ణు వల్లభ</v>
      </c>
      <c r="G53" s="10" t="str">
        <f>IFERROR(__xludf.DUMMYFUNCTION("GOOGLETRANSLATE(B53,""en"",""hi"")"),"विष्णु वल्लभ")</f>
        <v>विष्णु वल्लभ</v>
      </c>
      <c r="H53" s="10" t="str">
        <f>IFERROR(__xludf.DUMMYFUNCTION("GOOGLETRANSLATE(B53,""en"",""ta"")"),"விஷ்ணு வல்லப")</f>
        <v>விஷ்ணு வல்லப</v>
      </c>
      <c r="I53" s="10" t="str">
        <f>IFERROR(__xludf.DUMMYFUNCTION("GOOGLETRANSLATE(B53,""en"",""kn"")"),"ವಿಷ್ಣು ವಲ್ಲಭ")</f>
        <v>ವಿಷ್ಣು ವಲ್ಲಭ</v>
      </c>
      <c r="J53" s="10" t="str">
        <f>IFERROR(__xludf.DUMMYFUNCTION("GOOGLETRANSLATE(B53,""en"",""ml"")"),"വിഷ്ണു വല്ലഭൻ")</f>
        <v>വിഷ്ണു വല്ലഭൻ</v>
      </c>
      <c r="K53" s="12" t="s">
        <v>199</v>
      </c>
      <c r="L53" s="10" t="str">
        <f>IFERROR(__xludf.DUMMYFUNCTION("GOOGLETRANSLATE(K53,""en"",""te"")"),"ఆలయ ప్రాంతానికి సమీపంలో సరసమైన బసను అందించే యాత్రికుల వసతి సౌకర్యం.")</f>
        <v>ఆలయ ప్రాంతానికి సమీపంలో సరసమైన బసను అందించే యాత్రికుల వసతి సౌకర్యం.</v>
      </c>
      <c r="M53" s="10" t="str">
        <f>IFERROR(__xludf.DUMMYFUNCTION("GOOGLETRANSLATE(K53,""en"",""hi"")"),"तीर्थयात्रियों के लिए मंदिर क्षेत्र के पास किफायती आवास सुविधा उपलब्ध है।")</f>
        <v>तीर्थयात्रियों के लिए मंदिर क्षेत्र के पास किफायती आवास सुविधा उपलब्ध है।</v>
      </c>
      <c r="N53" s="10" t="str">
        <f>IFERROR(__xludf.DUMMYFUNCTION("GOOGLETRANSLATE(K53,""en"",""ta"")"),"கோயில் பகுதிக்கு அருகில் மலிவு விலையில் தங்குவதற்கு யாத்ரீகர் தங்கும் வசதி.")</f>
        <v>கோயில் பகுதிக்கு அருகில் மலிவு விலையில் தங்குவதற்கு யாத்ரீகர் தங்கும் வசதி.</v>
      </c>
      <c r="O53" s="10" t="str">
        <f>IFERROR(__xludf.DUMMYFUNCTION("GOOGLETRANSLATE(K53,""en"",""kn"")"),"ದೇವಾಲಯದ ಬಳಿ ಕೈಗೆಟುಕುವ ದರದಲ್ಲಿ ಯಾತ್ರಿಕರ ವಸತಿ ಸೌಲಭ್ಯ.")</f>
        <v>ದೇವಾಲಯದ ಬಳಿ ಕೈಗೆಟುಕುವ ದರದಲ್ಲಿ ಯಾತ್ರಿಕರ ವಸತಿ ಸೌಲಭ್ಯ.</v>
      </c>
      <c r="P53" s="10" t="str">
        <f>IFERROR(__xludf.DUMMYFUNCTION("GOOGLETRANSLATE(K53,""en"",""ml"")"),"ക്ഷേത്ര പരിസരത്ത് താങ്ങാനാവുന്ന വിലയിൽ തീർത്ഥാടക താമസ സൗകര്യം.")</f>
        <v>ക്ഷേത്ര പരിസരത്ത് താങ്ങാനാവുന്ന വിലയിൽ തീർത്ഥാടക താമസ സൗകര്യം.</v>
      </c>
    </row>
    <row r="54">
      <c r="A54" s="6">
        <f t="shared" si="1"/>
        <v>53</v>
      </c>
      <c r="B54" s="6" t="s">
        <v>200</v>
      </c>
      <c r="C54" s="6">
        <v>16.0770065</v>
      </c>
      <c r="D54" s="6">
        <v>78.8764068</v>
      </c>
      <c r="E54" s="5" t="s">
        <v>178</v>
      </c>
      <c r="F54" s="11" t="str">
        <f>IFERROR(__xludf.DUMMYFUNCTION("GOOGLETRANSLATE(B54,""en"",""te"")"),"శ్రీ నందీశ్వర వసతి గృహం")</f>
        <v>శ్రీ నందీశ్వర వసతి గృహం</v>
      </c>
      <c r="G54" s="10" t="str">
        <f>IFERROR(__xludf.DUMMYFUNCTION("GOOGLETRANSLATE(B54,""en"",""hi"")"),"श्री नंदेश्वर छात्रावास")</f>
        <v>श्री नंदेश्वर छात्रावास</v>
      </c>
      <c r="H54" s="10" t="str">
        <f>IFERROR(__xludf.DUMMYFUNCTION("GOOGLETRANSLATE(B54,""en"",""ta"")"),"ஸ்ரீ நந்தீஸ்வரர் தங்குமிடம்")</f>
        <v>ஸ்ரீ நந்தீஸ்வரர் தங்குமிடம்</v>
      </c>
      <c r="I54" s="10" t="str">
        <f>IFERROR(__xludf.DUMMYFUNCTION("GOOGLETRANSLATE(B54,""en"",""kn"")"),"ಶ್ರಿ ನಂದೀಶ್ವರ ಡೋರ್ಮಿಟರಿ")</f>
        <v>ಶ್ರಿ ನಂದೀಶ್ವರ ಡೋರ್ಮಿಟರಿ</v>
      </c>
      <c r="J54" s="10" t="str">
        <f>IFERROR(__xludf.DUMMYFUNCTION("GOOGLETRANSLATE(B54,""en"",""ml"")"),"ശ്രീ നന്ദേശ്വര ഡോർമിറ്ററി")</f>
        <v>ശ്രീ നന്ദേശ്വര ഡോർമിറ്ററി</v>
      </c>
      <c r="K54" s="12" t="s">
        <v>201</v>
      </c>
      <c r="L54" s="10" t="str">
        <f>IFERROR(__xludf.DUMMYFUNCTION("GOOGLETRANSLATE(K54,""en"",""te"")"),"సమూహ యాత్రికులకు ఉమ్మడి వసతిని అందించే డార్మిటరీ వసతి.")</f>
        <v>సమూహ యాత్రికులకు ఉమ్మడి వసతిని అందించే డార్మిటరీ వసతి.</v>
      </c>
      <c r="M54" s="10" t="str">
        <f>IFERROR(__xludf.DUMMYFUNCTION("GOOGLETRANSLATE(K54,""en"",""hi"")"),"समूह तीर्थयात्रियों के लिए साझा आवास की सुविधा प्रदान करने वाले छात्रावास।")</f>
        <v>समूह तीर्थयात्रियों के लिए साझा आवास की सुविधा प्रदान करने वाले छात्रावास।</v>
      </c>
      <c r="N54" s="10" t="str">
        <f>IFERROR(__xludf.DUMMYFUNCTION("GOOGLETRANSLATE(K54,""en"",""ta"")"),"குழு யாத்ரீகர்களுக்கு பகிரப்பட்ட தங்குமிடத்தை வழங்கும் தங்குமிட விடுதி.")</f>
        <v>குழு யாத்ரீகர்களுக்கு பகிரப்பட்ட தங்குமிடத்தை வழங்கும் தங்குமிட விடுதி.</v>
      </c>
      <c r="O54" s="10" t="str">
        <f>IFERROR(__xludf.DUMMYFUNCTION("GOOGLETRANSLATE(K54,""en"",""kn"")"),"ಗುಂಪು ಯಾತ್ರಿಕರಿಗೆ ಹಂಚಿಕೆಯ ವಸತಿಯನ್ನು ಒದಗಿಸುವ ವಸತಿ ನಿಲಯದ ವಸತಿ.")</f>
        <v>ಗುಂಪು ಯಾತ್ರಿಕರಿಗೆ ಹಂಚಿಕೆಯ ವಸತಿಯನ್ನು ಒದಗಿಸುವ ವಸತಿ ನಿಲಯದ ವಸತಿ.</v>
      </c>
      <c r="P54" s="10" t="str">
        <f>IFERROR(__xludf.DUMMYFUNCTION("GOOGLETRANSLATE(K54,""en"",""ml"")"),"കൂട്ട തീർഥാടകർക്ക് പങ്കിട്ട താമസ സൗകര്യം നൽകുന്ന ഡോർമിറ്ററി താമസം.")</f>
        <v>കൂട്ട തീർഥാടകർക്ക് പങ്കിട്ട താമസ സൗകര്യം നൽകുന്ന ഡോർമിറ്ററി താമസം.</v>
      </c>
    </row>
    <row r="55">
      <c r="A55" s="6">
        <f t="shared" si="1"/>
        <v>54</v>
      </c>
      <c r="B55" s="5" t="s">
        <v>202</v>
      </c>
      <c r="C55" s="6">
        <v>16.0737432</v>
      </c>
      <c r="D55" s="6">
        <v>78.8748374</v>
      </c>
      <c r="E55" s="5" t="s">
        <v>178</v>
      </c>
      <c r="F55" s="20" t="s">
        <v>203</v>
      </c>
      <c r="G55" s="8" t="s">
        <v>204</v>
      </c>
      <c r="H55" s="8" t="s">
        <v>205</v>
      </c>
      <c r="I55" s="8" t="s">
        <v>206</v>
      </c>
      <c r="J55" s="8" t="s">
        <v>207</v>
      </c>
      <c r="K55" s="12" t="s">
        <v>208</v>
      </c>
      <c r="L55" s="10" t="str">
        <f>IFERROR(__xludf.DUMMYFUNCTION("GOOGLETRANSLATE(K55,""en"",""te"")"),"సమూహ బసలకు మెరుగైన సౌకర్యాలను అందించే మెరుగైన డార్మిటరీ సౌకర్యం.")</f>
        <v>సమూహ బసలకు మెరుగైన సౌకర్యాలను అందించే మెరుగైన డార్మిటరీ సౌకర్యం.</v>
      </c>
      <c r="M55" s="10" t="str">
        <f>IFERROR(__xludf.DUMMYFUNCTION("GOOGLETRANSLATE(K55,""en"",""hi"")"),"समूह में ठहरने के लिए बेहतर सुविधाओं से लैस उन्नत छात्रावास सुविधा।")</f>
        <v>समूह में ठहरने के लिए बेहतर सुविधाओं से लैस उन्नत छात्रावास सुविधा।</v>
      </c>
      <c r="N55" s="10" t="str">
        <f>IFERROR(__xludf.DUMMYFUNCTION("GOOGLETRANSLATE(K55,""en"",""ta"")"),"குழுவாக தங்குவதற்கு சிறந்த வசதிகளை வழங்கும் மேம்படுத்தப்பட்ட தங்குமிட வசதி.")</f>
        <v>குழுவாக தங்குவதற்கு சிறந்த வசதிகளை வழங்கும் மேம்படுத்தப்பட்ட தங்குமிட வசதி.</v>
      </c>
      <c r="O55" s="10" t="str">
        <f>IFERROR(__xludf.DUMMYFUNCTION("GOOGLETRANSLATE(K55,""en"",""kn"")"),"ಗುಂಪು ವಾಸ್ತವ್ಯಕ್ಕೆ ಉತ್ತಮ ಸೌಲಭ್ಯಗಳನ್ನು ನೀಡುವ ವರ್ಧಿತ ವಸತಿ ನಿಲಯ ಸೌಲಭ್ಯ.")</f>
        <v>ಗುಂಪು ವಾಸ್ತವ್ಯಕ್ಕೆ ಉತ್ತಮ ಸೌಲಭ್ಯಗಳನ್ನು ನೀಡುವ ವರ್ಧಿತ ವಸತಿ ನಿಲಯ ಸೌಲಭ್ಯ.</v>
      </c>
      <c r="P55" s="10" t="str">
        <f>IFERROR(__xludf.DUMMYFUNCTION("GOOGLETRANSLATE(K55,""en"",""ml"")"),"ഗ്രൂപ്പ് താമസത്തിന് മെച്ചപ്പെട്ട സൗകര്യങ്ങൾ വാഗ്ദാനം ചെയ്യുന്ന മെച്ചപ്പെട്ട ഡോർമിറ്ററി സൗകര്യം.")</f>
        <v>ഗ്രൂപ്പ് താമസത്തിന് മെച്ചപ്പെട്ട സൗകര്യങ്ങൾ വാഗ്ദാനം ചെയ്യുന്ന മെച്ചപ്പെട്ട ഡോർമിറ്ററി സൗകര്യം.</v>
      </c>
    </row>
    <row r="56">
      <c r="A56" s="6">
        <f t="shared" si="1"/>
        <v>55</v>
      </c>
      <c r="B56" s="6" t="s">
        <v>209</v>
      </c>
      <c r="C56" s="6">
        <v>16.0713199</v>
      </c>
      <c r="D56" s="6">
        <v>78.8765091</v>
      </c>
      <c r="E56" s="5" t="s">
        <v>178</v>
      </c>
      <c r="F56" s="11" t="str">
        <f>IFERROR(__xludf.DUMMYFUNCTION("GOOGLETRANSLATE(B56,""en"",""te"")"),"వాసవి విహార్")</f>
        <v>వాసవి విహార్</v>
      </c>
      <c r="G56" s="10" t="str">
        <f>IFERROR(__xludf.DUMMYFUNCTION("GOOGLETRANSLATE(B56,""en"",""hi"")"),"वासवी विहार")</f>
        <v>वासवी विहार</v>
      </c>
      <c r="H56" s="10" t="str">
        <f>IFERROR(__xludf.DUMMYFUNCTION("GOOGLETRANSLATE(B56,""en"",""ta"")"),"வாசவி விஹார்")</f>
        <v>வாசவி விஹார்</v>
      </c>
      <c r="I56" s="10" t="str">
        <f>IFERROR(__xludf.DUMMYFUNCTION("GOOGLETRANSLATE(B56,""en"",""kn"")"),"ವಾಸವಿ ವಿಹಾರ್")</f>
        <v>ವಾಸವಿ ವಿಹಾರ್</v>
      </c>
      <c r="J56" s="10" t="str">
        <f>IFERROR(__xludf.DUMMYFUNCTION("GOOGLETRANSLATE(B56,""en"",""ml"")"),"വാസവി വിഹാർ")</f>
        <v>വാസവി വിഹാർ</v>
      </c>
      <c r="K56" s="12" t="s">
        <v>210</v>
      </c>
      <c r="L56" s="10" t="str">
        <f>IFERROR(__xludf.DUMMYFUNCTION("GOOGLETRANSLATE(K56,""en"",""te"")"),"యాత్రికులకు బస కల్పించే కమ్యూనిటీ-నిర్వహణ వసతి సౌకర్యం.")</f>
        <v>యాత్రికులకు బస కల్పించే కమ్యూనిటీ-నిర్వహణ వసతి సౌకర్యం.</v>
      </c>
      <c r="M56" s="10" t="str">
        <f>IFERROR(__xludf.DUMMYFUNCTION("GOOGLETRANSLATE(K56,""en"",""hi"")"),"तीर्थयात्रियों के लिए आवास प्रदान करने वाली सामुदायिक रूप से प्रबंधित आवास सुविधा।")</f>
        <v>तीर्थयात्रियों के लिए आवास प्रदान करने वाली सामुदायिक रूप से प्रबंधित आवास सुविधा।</v>
      </c>
      <c r="N56" s="10" t="str">
        <f>IFERROR(__xludf.DUMMYFUNCTION("GOOGLETRANSLATE(K56,""en"",""ta"")"),"யாத்ரீகர்களுக்கு தங்குமிட வசதியை வழங்கும் சமூகத்தால் நிர்வகிக்கப்படும் தங்குமிட வசதி.")</f>
        <v>யாத்ரீகர்களுக்கு தங்குமிட வசதியை வழங்கும் சமூகத்தால் நிர்வகிக்கப்படும் தங்குமிட வசதி.</v>
      </c>
      <c r="O56" s="10" t="str">
        <f>IFERROR(__xludf.DUMMYFUNCTION("GOOGLETRANSLATE(K56,""en"",""kn"")"),"ಸಮುದಾಯ-ನಿರ್ವಹಣೆಯ ವಸತಿ ಸೌಲಭ್ಯವು ಯಾತ್ರಿಕರಿಗೆ ವಸತಿ ಒದಗಿಸುತ್ತದೆ.")</f>
        <v>ಸಮುದಾಯ-ನಿರ್ವಹಣೆಯ ವಸತಿ ಸೌಲಭ್ಯವು ಯಾತ್ರಿಕರಿಗೆ ವಸತಿ ಒದಗಿಸುತ್ತದೆ.</v>
      </c>
      <c r="P56" s="10" t="str">
        <f>IFERROR(__xludf.DUMMYFUNCTION("GOOGLETRANSLATE(K56,""en"",""ml"")"),"തീർഥാടകർക്ക് താമസ സൗകര്യം ഒരുക്കുന്ന സമൂഹം നിയന്ത്രിക്കുന്ന താമസ സൗകര്യം.")</f>
        <v>തീർഥാടകർക്ക് താമസ സൗകര്യം ഒരുക്കുന്ന സമൂഹം നിയന്ത്രിക്കുന്ന താമസ സൗകര്യം.</v>
      </c>
    </row>
    <row r="57">
      <c r="A57" s="6">
        <f t="shared" si="1"/>
        <v>56</v>
      </c>
      <c r="B57" s="6" t="s">
        <v>211</v>
      </c>
      <c r="C57" s="6">
        <v>16.0739485</v>
      </c>
      <c r="D57" s="6">
        <v>78.8707</v>
      </c>
      <c r="E57" s="5" t="s">
        <v>178</v>
      </c>
      <c r="F57" s="11" t="str">
        <f>IFERROR(__xludf.DUMMYFUNCTION("GOOGLETRANSLATE(B57,""en"",""te"")"),"వాసవి సత్రం")</f>
        <v>వాసవి సత్రం</v>
      </c>
      <c r="G57" s="10" t="str">
        <f>IFERROR(__xludf.DUMMYFUNCTION("GOOGLETRANSLATE(B57,""en"",""hi"")"),"वासवी सतराम")</f>
        <v>वासवी सतराम</v>
      </c>
      <c r="H57" s="10" t="str">
        <f>IFERROR(__xludf.DUMMYFUNCTION("GOOGLETRANSLATE(B57,""en"",""ta"")"),"வாசவி சத்திரம்")</f>
        <v>வாசவி சத்திரம்</v>
      </c>
      <c r="I57" s="10" t="str">
        <f>IFERROR(__xludf.DUMMYFUNCTION("GOOGLETRANSLATE(B57,""en"",""kn"")"),"ವಾಸವಿ ಸತ್ರಂ")</f>
        <v>ವಾಸವಿ ಸತ್ರಂ</v>
      </c>
      <c r="J57" s="10" t="str">
        <f>IFERROR(__xludf.DUMMYFUNCTION("GOOGLETRANSLATE(B57,""en"",""ml"")"),"വാസവി സത്രം")</f>
        <v>വാസവി സത്രം</v>
      </c>
      <c r="K57" s="12" t="s">
        <v>210</v>
      </c>
      <c r="L57" s="10" t="str">
        <f>IFERROR(__xludf.DUMMYFUNCTION("GOOGLETRANSLATE(K57,""en"",""te"")"),"యాత్రికులకు బస కల్పించే కమ్యూనిటీ-నిర్వహణ వసతి సౌకర్యం.")</f>
        <v>యాత్రికులకు బస కల్పించే కమ్యూనిటీ-నిర్వహణ వసతి సౌకర్యం.</v>
      </c>
      <c r="M57" s="10" t="str">
        <f>IFERROR(__xludf.DUMMYFUNCTION("GOOGLETRANSLATE(K57,""en"",""hi"")"),"तीर्थयात्रियों के लिए आवास प्रदान करने वाली सामुदायिक रूप से प्रबंधित आवास सुविधा।")</f>
        <v>तीर्थयात्रियों के लिए आवास प्रदान करने वाली सामुदायिक रूप से प्रबंधित आवास सुविधा।</v>
      </c>
      <c r="N57" s="10" t="str">
        <f>IFERROR(__xludf.DUMMYFUNCTION("GOOGLETRANSLATE(K57,""en"",""ta"")"),"யாத்ரீகர்களுக்கு தங்குமிட வசதியை வழங்கும் சமூகத்தால் நிர்வகிக்கப்படும் தங்குமிட வசதி.")</f>
        <v>யாத்ரீகர்களுக்கு தங்குமிட வசதியை வழங்கும் சமூகத்தால் நிர்வகிக்கப்படும் தங்குமிட வசதி.</v>
      </c>
      <c r="O57" s="10" t="str">
        <f>IFERROR(__xludf.DUMMYFUNCTION("GOOGLETRANSLATE(K57,""en"",""kn"")"),"ಸಮುದಾಯ-ನಿರ್ವಹಣೆಯ ವಸತಿ ಸೌಲಭ್ಯವು ಯಾತ್ರಿಕರಿಗೆ ವಸತಿ ಒದಗಿಸುತ್ತದೆ.")</f>
        <v>ಸಮುದಾಯ-ನಿರ್ವಹಣೆಯ ವಸತಿ ಸೌಲಭ್ಯವು ಯಾತ್ರಿಕರಿಗೆ ವಸತಿ ಒದಗಿಸುತ್ತದೆ.</v>
      </c>
      <c r="P57" s="10" t="str">
        <f>IFERROR(__xludf.DUMMYFUNCTION("GOOGLETRANSLATE(K57,""en"",""ml"")"),"തീർഥാടകർക്ക് താമസ സൗകര്യം ഒരുക്കുന്ന സമൂഹം നിയന്ത്രിക്കുന്ന താമസ സൗകര്യം.")</f>
        <v>തീർഥാടകർക്ക് താമസ സൗകര്യം ഒരുക്കുന്ന സമൂഹം നിയന്ത്രിക്കുന്ന താമസ സൗകര്യം.</v>
      </c>
    </row>
    <row r="58">
      <c r="A58" s="6">
        <f t="shared" si="1"/>
        <v>57</v>
      </c>
      <c r="B58" s="6" t="s">
        <v>212</v>
      </c>
      <c r="C58" s="6">
        <v>16.0713018</v>
      </c>
      <c r="D58" s="6">
        <v>78.8767256</v>
      </c>
      <c r="E58" s="5" t="s">
        <v>178</v>
      </c>
      <c r="F58" s="11" t="str">
        <f>IFERROR(__xludf.DUMMYFUNCTION("GOOGLETRANSLATE(B58,""en"",""te"")"),"వాసవి – 2 (కొత్త భవనం)")</f>
        <v>వాసవి – 2 (కొత్త భవనం)</v>
      </c>
      <c r="G58" s="10" t="str">
        <f>IFERROR(__xludf.DUMMYFUNCTION("GOOGLETRANSLATE(B58,""en"",""hi"")"),"वासवी – 2 (नई इमारत)")</f>
        <v>वासवी – 2 (नई इमारत)</v>
      </c>
      <c r="H58" s="10" t="str">
        <f>IFERROR(__xludf.DUMMYFUNCTION("GOOGLETRANSLATE(B58,""en"",""ta"")"),"வாசவி – 2 (புதிய கட்டிடம்)")</f>
        <v>வாசவி – 2 (புதிய கட்டிடம்)</v>
      </c>
      <c r="I58" s="10" t="str">
        <f>IFERROR(__xludf.DUMMYFUNCTION("GOOGLETRANSLATE(B58,""en"",""kn"")"),"ವಾಸವಿ – 2 (ಹೊಸ ಕಟ್ಟಡ)")</f>
        <v>ವಾಸವಿ – 2 (ಹೊಸ ಕಟ್ಟಡ)</v>
      </c>
      <c r="J58" s="10" t="str">
        <f>IFERROR(__xludf.DUMMYFUNCTION("GOOGLETRANSLATE(B58,""en"",""ml"")"),"വാസവി – 2 (പുതിയ കെട്ടിടം)")</f>
        <v>വാസവി – 2 (പുതിയ കെട്ടിടം)</v>
      </c>
      <c r="K58" s="12" t="s">
        <v>213</v>
      </c>
      <c r="L58" s="10" t="str">
        <f>IFERROR(__xludf.DUMMYFUNCTION("GOOGLETRANSLATE(K58,""en"",""te"")"),"యాత్రికులకు అదనపు వసతి కల్పించే కొత్తగా నిర్మించిన భవనం.")</f>
        <v>యాత్రికులకు అదనపు వసతి కల్పించే కొత్తగా నిర్మించిన భవనం.</v>
      </c>
      <c r="M58" s="10" t="str">
        <f>IFERROR(__xludf.DUMMYFUNCTION("GOOGLETRANSLATE(K58,""en"",""hi"")"),"तीर्थयात्रियों के लिए अतिरिक्त आवास प्रदान करने वाली नवनिर्मित इमारत।")</f>
        <v>तीर्थयात्रियों के लिए अतिरिक्त आवास प्रदान करने वाली नवनिर्मित इमारत।</v>
      </c>
      <c r="N58" s="10" t="str">
        <f>IFERROR(__xludf.DUMMYFUNCTION("GOOGLETRANSLATE(K58,""en"",""ta"")"),"யாத்ரீகர்களுக்கு கூடுதல் தங்குமிட வசதியை வழங்கும் வகையில் புதிதாக கட்டப்பட்ட கட்டிடம்.")</f>
        <v>யாத்ரீகர்களுக்கு கூடுதல் தங்குமிட வசதியை வழங்கும் வகையில் புதிதாக கட்டப்பட்ட கட்டிடம்.</v>
      </c>
      <c r="O58" s="10" t="str">
        <f>IFERROR(__xludf.DUMMYFUNCTION("GOOGLETRANSLATE(K58,""en"",""kn"")"),"ಯಾತ್ರಿಕರಿಗೆ ಹೆಚ್ಚುವರಿ ವಸತಿ ಸೌಕರ್ಯವನ್ನು ಒದಗಿಸುವ ಹೊಸದಾಗಿ ನಿರ್ಮಿಸಲಾದ ಕಟ್ಟಡ.")</f>
        <v>ಯಾತ್ರಿಕರಿಗೆ ಹೆಚ್ಚುವರಿ ವಸತಿ ಸೌಕರ್ಯವನ್ನು ಒದಗಿಸುವ ಹೊಸದಾಗಿ ನಿರ್ಮಿಸಲಾದ ಕಟ್ಟಡ.</v>
      </c>
      <c r="P58" s="10" t="str">
        <f>IFERROR(__xludf.DUMMYFUNCTION("GOOGLETRANSLATE(K58,""en"",""ml"")"),"തീർഥാടകർക്ക് കൂടുതൽ താമസ സൗകര്യം ഒരുക്കുന്ന പുതുതായി നിർമ്മിച്ച കെട്ടിടം.")</f>
        <v>തീർഥാടകർക്ക് കൂടുതൽ താമസ സൗകര്യം ഒരുക്കുന്ന പുതുതായി നിർമ്മിച്ച കെട്ടിടം.</v>
      </c>
    </row>
    <row r="59">
      <c r="A59" s="6">
        <f t="shared" si="1"/>
        <v>58</v>
      </c>
      <c r="B59" s="6" t="s">
        <v>214</v>
      </c>
      <c r="C59" s="6">
        <v>16.0755246</v>
      </c>
      <c r="D59" s="6">
        <v>78.8661158</v>
      </c>
      <c r="E59" s="5" t="s">
        <v>178</v>
      </c>
      <c r="F59" s="20" t="s">
        <v>215</v>
      </c>
      <c r="G59" s="8" t="s">
        <v>216</v>
      </c>
      <c r="H59" s="8" t="s">
        <v>217</v>
      </c>
      <c r="I59" s="8" t="s">
        <v>218</v>
      </c>
      <c r="J59" s="8" t="s">
        <v>219</v>
      </c>
      <c r="K59" s="12" t="s">
        <v>220</v>
      </c>
      <c r="L59" s="10" t="str">
        <f>IFERROR(__xludf.DUMMYFUNCTION("GOOGLETRANSLATE(K59,""en"",""te"")"),"వసతి మరియు యాత్రికుల సహాయ సేవలను అందించే స్వచ్ఛంద సంస్థ.")</f>
        <v>వసతి మరియు యాత్రికుల సహాయ సేవలను అందించే స్వచ్ఛంద సంస్థ.</v>
      </c>
      <c r="M59" s="10" t="str">
        <f>IFERROR(__xludf.DUMMYFUNCTION("GOOGLETRANSLATE(K59,""en"",""hi"")"),"एक धर्मार्थ संगठन जो आवास और तीर्थयात्रियों के लिए सहायता सेवाएं प्रदान करता है।")</f>
        <v>एक धर्मार्थ संगठन जो आवास और तीर्थयात्रियों के लिए सहायता सेवाएं प्रदान करता है।</v>
      </c>
      <c r="N59" s="10" t="str">
        <f>IFERROR(__xludf.DUMMYFUNCTION("GOOGLETRANSLATE(K59,""en"",""ta"")"),"தங்குமிடம் மற்றும் யாத்ரீகர் ஆதரவு சேவைகளை வழங்கும் தொண்டு நிறுவனம்.")</f>
        <v>தங்குமிடம் மற்றும் யாத்ரீகர் ஆதரவு சேவைகளை வழங்கும் தொண்டு நிறுவனம்.</v>
      </c>
      <c r="O59" s="10" t="str">
        <f>IFERROR(__xludf.DUMMYFUNCTION("GOOGLETRANSLATE(K59,""en"",""kn"")"),"ವಸತಿ ಮತ್ತು ಯಾತ್ರಿಕ ಬೆಂಬಲ ಸೇವೆಗಳನ್ನು ನೀಡುವ ದತ್ತಿ ಸಂಸ್ಥೆ.")</f>
        <v>ವಸತಿ ಮತ್ತು ಯಾತ್ರಿಕ ಬೆಂಬಲ ಸೇವೆಗಳನ್ನು ನೀಡುವ ದತ್ತಿ ಸಂಸ್ಥೆ.</v>
      </c>
      <c r="P59" s="10" t="str">
        <f>IFERROR(__xludf.DUMMYFUNCTION("GOOGLETRANSLATE(K59,""en"",""ml"")"),"താമസ സൗകര്യവും തീർത്ഥാടക സഹായ സേവനങ്ങളും വാഗ്ദാനം ചെയ്യുന്ന ഒരു ചാരിറ്റബിൾ സംഘടന.")</f>
        <v>താമസ സൗകര്യവും തീർത്ഥാടക സഹായ സേവനങ്ങളും വാഗ്ദാനം ചെയ്യുന്ന ഒരു ചാരിറ്റബിൾ സംഘടന.</v>
      </c>
    </row>
    <row r="60">
      <c r="A60" s="6">
        <f t="shared" si="1"/>
        <v>59</v>
      </c>
      <c r="B60" s="6" t="s">
        <v>221</v>
      </c>
      <c r="C60" s="6">
        <v>16.078471</v>
      </c>
      <c r="D60" s="6">
        <v>78.8650442</v>
      </c>
      <c r="E60" s="5" t="s">
        <v>178</v>
      </c>
      <c r="F60" s="11" t="str">
        <f>IFERROR(__xludf.DUMMYFUNCTION("GOOGLETRANSLATE(B60,""en"",""te"")"),"అఖిల భారత వంశరాజ్ నిత్య అన్నదాన సత్రం")</f>
        <v>అఖిల భారత వంశరాజ్ నిత్య అన్నదాన సత్రం</v>
      </c>
      <c r="G60" s="8" t="s">
        <v>222</v>
      </c>
      <c r="H60" s="8" t="s">
        <v>223</v>
      </c>
      <c r="I60" s="8" t="s">
        <v>224</v>
      </c>
      <c r="J60" s="8" t="s">
        <v>225</v>
      </c>
      <c r="K60" s="12" t="s">
        <v>226</v>
      </c>
      <c r="L60" s="10" t="str">
        <f>IFERROR(__xludf.DUMMYFUNCTION("GOOGLETRANSLATE(K60,""en"",""te"")"),"యాత్రికులకు ఉచిత ఆహారం మరియు ప్రాథమిక ఆశ్రయం అందించే ధార్మిక సత్రం.")</f>
        <v>యాత్రికులకు ఉచిత ఆహారం మరియు ప్రాథమిక ఆశ్రయం అందించే ధార్మిక సత్రం.</v>
      </c>
      <c r="M60" s="10" t="str">
        <f>IFERROR(__xludf.DUMMYFUNCTION("GOOGLETRANSLATE(K60,""en"",""hi"")"),"तीर्थयात्रियों को मुफ्त भोजन और बुनियादी आश्रय प्रदान करने वाला धर्मार्थ केंद्र।")</f>
        <v>तीर्थयात्रियों को मुफ्त भोजन और बुनियादी आश्रय प्रदान करने वाला धर्मार्थ केंद्र।</v>
      </c>
      <c r="N60" s="10" t="str">
        <f>IFERROR(__xludf.DUMMYFUNCTION("GOOGLETRANSLATE(K60,""en"",""ta"")"),"யாத்ரீகர்களுக்கு இலவச உணவு மற்றும் அடிப்படை தங்குமிடங்களை வழங்கும் தொண்டு சத்திரம்.")</f>
        <v>யாத்ரீகர்களுக்கு இலவச உணவு மற்றும் அடிப்படை தங்குமிடங்களை வழங்கும் தொண்டு சத்திரம்.</v>
      </c>
      <c r="O60" s="10" t="str">
        <f>IFERROR(__xludf.DUMMYFUNCTION("GOOGLETRANSLATE(K60,""en"",""kn"")"),"ಯಾತ್ರಿಕರಿಗೆ ಉಚಿತ ಆಹಾರ ಮತ್ತು ಮೂಲಭೂತ ವಸತಿಯನ್ನು ಒದಗಿಸುವ ದತ್ತಿ ಸತ್ರಂ.")</f>
        <v>ಯಾತ್ರಿಕರಿಗೆ ಉಚಿತ ಆಹಾರ ಮತ್ತು ಮೂಲಭೂತ ವಸತಿಯನ್ನು ಒದಗಿಸುವ ದತ್ತಿ ಸತ್ರಂ.</v>
      </c>
      <c r="P60" s="10" t="str">
        <f>IFERROR(__xludf.DUMMYFUNCTION("GOOGLETRANSLATE(K60,""en"",""ml"")"),"തീർത്ഥാടകർക്ക് സൗജന്യ ഭക്ഷണവും അടിസ്ഥാന താമസവും നൽകുന്ന ചാരിറ്റബിൾ സത്രം.")</f>
        <v>തീർത്ഥാടകർക്ക് സൗജന്യ ഭക്ഷണവും അടിസ്ഥാന താമസവും നൽകുന്ന ചാരിറ്റബിൾ സത്രം.</v>
      </c>
    </row>
    <row r="61">
      <c r="A61" s="6">
        <f t="shared" si="1"/>
        <v>60</v>
      </c>
      <c r="B61" s="6" t="s">
        <v>227</v>
      </c>
      <c r="C61" s="6">
        <v>16.0781334</v>
      </c>
      <c r="D61" s="6">
        <v>78.8653663</v>
      </c>
      <c r="E61" s="5" t="s">
        <v>178</v>
      </c>
      <c r="F61" s="11" t="str">
        <f>IFERROR(__xludf.DUMMYFUNCTION("GOOGLETRANSLATE(B61,""en"",""te"")"),"గౌరీ నిత్య అన్నదానం సత్రం")</f>
        <v>గౌరీ నిత్య అన్నదానం సత్రం</v>
      </c>
      <c r="G61" s="10" t="str">
        <f>IFERROR(__xludf.DUMMYFUNCTION("GOOGLETRANSLATE(B61,""en"",""hi"")"),"गौरी नित्या अन्नदानम सतरम")</f>
        <v>गौरी नित्या अन्नदानम सतरम</v>
      </c>
      <c r="H61" s="10" t="str">
        <f>IFERROR(__xludf.DUMMYFUNCTION("GOOGLETRANSLATE(B61,""en"",""ta"")"),"கௌரி நித்ய அன்னதானம் சத்ரம்")</f>
        <v>கௌரி நித்ய அன்னதானம் சத்ரம்</v>
      </c>
      <c r="I61" s="10" t="str">
        <f>IFERROR(__xludf.DUMMYFUNCTION("GOOGLETRANSLATE(B61,""en"",""kn"")"),"ಗೌರಿ ನಿತ್ಯ ಅನ್ನದಾನ ಸತ್ರಂ")</f>
        <v>ಗೌರಿ ನಿತ್ಯ ಅನ್ನದಾನ ಸತ್ರಂ</v>
      </c>
      <c r="J61" s="10" t="str">
        <f>IFERROR(__xludf.DUMMYFUNCTION("GOOGLETRANSLATE(B61,""en"",""ml"")"),"ഗൗരി നിത്യ അന്നദാനം സത്രം")</f>
        <v>ഗൗരി നിത്യ അന്നദാനം സത്രം</v>
      </c>
      <c r="K61" s="12" t="s">
        <v>228</v>
      </c>
      <c r="L61" s="10" t="str">
        <f>IFERROR(__xludf.DUMMYFUNCTION("GOOGLETRANSLATE(K61,""en"",""te"")"),"సత్రం రోజువారీ అన్నదానం మరియు యాత్రికుల సహాయ సేవలకు అంకితం చేయబడింది.")</f>
        <v>సత్రం రోజువారీ అన్నదానం మరియు యాత్రికుల సహాయ సేవలకు అంకితం చేయబడింది.</v>
      </c>
      <c r="M61" s="10" t="str">
        <f>IFERROR(__xludf.DUMMYFUNCTION("GOOGLETRANSLATE(K61,""en"",""hi"")"),"सतरम दैनिक अन्नदान और तीर्थयात्री सहायता सेवाओं के लिए समर्पित है।")</f>
        <v>सतरम दैनिक अन्नदान और तीर्थयात्री सहायता सेवाओं के लिए समर्पित है।</v>
      </c>
      <c r="N61" s="10" t="str">
        <f>IFERROR(__xludf.DUMMYFUNCTION("GOOGLETRANSLATE(K61,""en"",""ta"")"),"தினசரி அன்னதானம் மற்றும் யாத்ரீகர் ஆதரவு சேவைகளுக்கு அர்ப்பணிக்கப்பட்ட சத்ரம்.")</f>
        <v>தினசரி அன்னதானம் மற்றும் யாத்ரீகர் ஆதரவு சேவைகளுக்கு அர்ப்பணிக்கப்பட்ட சத்ரம்.</v>
      </c>
      <c r="O61" s="10" t="str">
        <f>IFERROR(__xludf.DUMMYFUNCTION("GOOGLETRANSLATE(K61,""en"",""kn"")"),"ಸತ್ರಂ ದೈನಂದಿನ ಅನ್ನದಾನ ಮತ್ತು ಯಾತ್ರಿಕ ಬೆಂಬಲ ಸೇವೆಗಳಿಗೆ ಮೀಸಲಾಗಿದೆ.")</f>
        <v>ಸತ್ರಂ ದೈನಂದಿನ ಅನ್ನದಾನ ಮತ್ತು ಯಾತ್ರಿಕ ಬೆಂಬಲ ಸೇವೆಗಳಿಗೆ ಮೀಸಲಾಗಿದೆ.</v>
      </c>
      <c r="P61" s="10" t="str">
        <f>IFERROR(__xludf.DUMMYFUNCTION("GOOGLETRANSLATE(K61,""en"",""ml"")"),"ദിവസേനയുള്ള അന്നദാനത്തിനും തീർത്ഥാടക സഹായ സേവനങ്ങൾക്കുമായി സമർപ്പിച്ചിരിക്കുന്ന സത്രം.")</f>
        <v>ദിവസേനയുള്ള അന്നദാനത്തിനും തീർത്ഥാടക സഹായ സേവനങ്ങൾക്കുമായി സമർപ്പിച്ചിരിക്കുന്ന സത്രം.</v>
      </c>
    </row>
    <row r="62">
      <c r="A62" s="6">
        <f t="shared" si="1"/>
        <v>61</v>
      </c>
      <c r="B62" s="6" t="s">
        <v>229</v>
      </c>
      <c r="C62" s="6">
        <v>16.07727</v>
      </c>
      <c r="D62" s="6">
        <v>78.8654627</v>
      </c>
      <c r="E62" s="5" t="s">
        <v>178</v>
      </c>
      <c r="F62" s="11" t="str">
        <f>IFERROR(__xludf.DUMMYFUNCTION("GOOGLETRANSLATE(B62,""en"",""te"")"),"శ్రీ సూర్య భగవాన్ సూర్య బలిజ సత్రం")</f>
        <v>శ్రీ సూర్య భగవాన్ సూర్య బలిజ సత్రం</v>
      </c>
      <c r="G62" s="10" t="str">
        <f>IFERROR(__xludf.DUMMYFUNCTION("GOOGLETRANSLATE(B62,""en"",""hi"")"),"श्री सूर्य भगवान सूर्य बलिजा सत्रम्")</f>
        <v>श्री सूर्य भगवान सूर्य बलिजा सत्रम्</v>
      </c>
      <c r="H62" s="10" t="str">
        <f>IFERROR(__xludf.DUMMYFUNCTION("GOOGLETRANSLATE(B62,""en"",""ta"")"),"ஸ்ரீ சூரிய பகவான் சூரிய பலிஜ சத்திரம்")</f>
        <v>ஸ்ரீ சூரிய பகவான் சூரிய பலிஜ சத்திரம்</v>
      </c>
      <c r="I62" s="10" t="str">
        <f>IFERROR(__xludf.DUMMYFUNCTION("GOOGLETRANSLATE(B62,""en"",""kn"")"),"ಶ್ರೀ ಸೂರ್ಯ ಭಗವಾನ್ ಸೂರ್ಯ ಬಲಿಜ ಸತ್ರಮ್")</f>
        <v>ಶ್ರೀ ಸೂರ್ಯ ಭಗವಾನ್ ಸೂರ್ಯ ಬಲಿಜ ಸತ್ರಮ್</v>
      </c>
      <c r="J62" s="10" t="str">
        <f>IFERROR(__xludf.DUMMYFUNCTION("GOOGLETRANSLATE(B62,""en"",""ml"")"),"ശ്രീ സൂര്യ ഭഗവാൻ സൂര്യ ബലിജ സത്രം")</f>
        <v>ശ്രീ സൂര്യ ഭഗവാൻ സൂര്യ ബലിജ സത്രം</v>
      </c>
      <c r="K62" s="12" t="s">
        <v>230</v>
      </c>
      <c r="L62" s="10" t="str">
        <f>IFERROR(__xludf.DUMMYFUNCTION("GOOGLETRANSLATE(K62,""en"",""te"")"),"కమ్యూనిటీ నిర్వహించే సత్రం వసతి మరియు అన్నదానం సౌకర్యాలను అందిస్తుంది.")</f>
        <v>కమ్యూనిటీ నిర్వహించే సత్రం వసతి మరియు అన్నదానం సౌకర్యాలను అందిస్తుంది.</v>
      </c>
      <c r="M62" s="10" t="str">
        <f>IFERROR(__xludf.DUMMYFUNCTION("GOOGLETRANSLATE(K62,""en"",""hi"")"),"समुदाय द्वारा संचालित सत्रम आवास और अन्नदानम सुविधाएं प्रदान करता है।")</f>
        <v>समुदाय द्वारा संचालित सत्रम आवास और अन्नदानम सुविधाएं प्रदान करता है।</v>
      </c>
      <c r="N62" s="10" t="str">
        <f>IFERROR(__xludf.DUMMYFUNCTION("GOOGLETRANSLATE(K62,""en"",""ta"")"),"சமூகத்தால் நடத்தப்படும் சத்திரம் தங்குமிடம் மற்றும் அன்னதான வசதிகளை வழங்குகிறது.")</f>
        <v>சமூகத்தால் நடத்தப்படும் சத்திரம் தங்குமிடம் மற்றும் அன்னதான வசதிகளை வழங்குகிறது.</v>
      </c>
      <c r="O62" s="10" t="str">
        <f>IFERROR(__xludf.DUMMYFUNCTION("GOOGLETRANSLATE(K62,""en"",""kn"")"),"ವಸತಿ ಮತ್ತು ಅನ್ನದಾನ ಸೌಲಭ್ಯಗಳನ್ನು ಒದಗಿಸುವ ಸಮುದಾಯ ನಡೆಸುವ ಸತ್ರಂ.")</f>
        <v>ವಸತಿ ಮತ್ತು ಅನ್ನದಾನ ಸೌಲಭ್ಯಗಳನ್ನು ಒದಗಿಸುವ ಸಮುದಾಯ ನಡೆಸುವ ಸತ್ರಂ.</v>
      </c>
      <c r="P62" s="10" t="str">
        <f>IFERROR(__xludf.DUMMYFUNCTION("GOOGLETRANSLATE(K62,""en"",""ml"")"),"താമസ സൗകര്യങ്ങളും അന്നദാന സൗകര്യങ്ങളും നൽകുന്ന സമൂഹം നടത്തുന്ന സത്രം.")</f>
        <v>താമസ സൗകര്യങ്ങളും അന്നദാന സൗകര്യങ്ങളും നൽകുന്ന സമൂഹം നടത്തുന്ന സത്രം.</v>
      </c>
    </row>
    <row r="63">
      <c r="A63" s="6">
        <f t="shared" si="1"/>
        <v>62</v>
      </c>
      <c r="B63" s="6" t="s">
        <v>231</v>
      </c>
      <c r="C63" s="6">
        <v>16.0780782</v>
      </c>
      <c r="D63" s="6">
        <v>78.8663017</v>
      </c>
      <c r="E63" s="5" t="s">
        <v>178</v>
      </c>
      <c r="F63" s="11" t="str">
        <f>IFERROR(__xludf.DUMMYFUNCTION("GOOGLETRANSLATE(B63,""en"",""te"")"),"మహేంద్ర మేదర సంగం సత్రం")</f>
        <v>మహేంద్ర మేదర సంగం సత్రం</v>
      </c>
      <c r="G63" s="10" t="str">
        <f>IFERROR(__xludf.DUMMYFUNCTION("GOOGLETRANSLATE(B63,""en"",""hi"")"),"महेंद्र मेदारा संगम सतरम")</f>
        <v>महेंद्र मेदारा संगम सतरम</v>
      </c>
      <c r="H63" s="10" t="str">
        <f>IFERROR(__xludf.DUMMYFUNCTION("GOOGLETRANSLATE(B63,""en"",""ta"")"),"மகேந்திர மேதார சங்கம் சத்திரம்")</f>
        <v>மகேந்திர மேதார சங்கம் சத்திரம்</v>
      </c>
      <c r="I63" s="10" t="str">
        <f>IFERROR(__xludf.DUMMYFUNCTION("GOOGLETRANSLATE(B63,""en"",""kn"")"),"ಮಹೇಂದ್ರ ಮೇದಾರ ಸಂಗಮ ಸತ್ರಂ")</f>
        <v>ಮಹೇಂದ್ರ ಮೇದಾರ ಸಂಗಮ ಸತ್ರಂ</v>
      </c>
      <c r="J63" s="10" t="str">
        <f>IFERROR(__xludf.DUMMYFUNCTION("GOOGLETRANSLATE(B63,""en"",""ml"")"),"മഹേന്ദ്ര മേദാര സംഘം സത്രം")</f>
        <v>മഹേന്ദ്ര മേദാര സംഘം സത്രം</v>
      </c>
      <c r="K63" s="12" t="s">
        <v>232</v>
      </c>
      <c r="L63" s="10" t="str">
        <f>IFERROR(__xludf.DUMMYFUNCTION("GOOGLETRANSLATE(K63,""en"",""te"")"),"సమాజ నిర్వహణలో ఉన్న సత్రం, యాత్రికులకు వసతి సౌకర్యాలను అందిస్తుంది.")</f>
        <v>సమాజ నిర్వహణలో ఉన్న సత్రం, యాత్రికులకు వసతి సౌకర్యాలను అందిస్తుంది.</v>
      </c>
      <c r="M63" s="10" t="str">
        <f>IFERROR(__xludf.DUMMYFUNCTION("GOOGLETRANSLATE(K63,""en"",""hi"")"),"तीर्थयात्रियों के लिए आवास सुविधा प्रदान करने वाला सामुदायिक रूप से संचालित सत्रम।")</f>
        <v>तीर्थयात्रियों के लिए आवास सुविधा प्रदान करने वाला सामुदायिक रूप से संचालित सत्रम।</v>
      </c>
      <c r="N63" s="10" t="str">
        <f>IFERROR(__xludf.DUMMYFUNCTION("GOOGLETRANSLATE(K63,""en"",""ta"")"),"யாத்ரீகர்களுக்கு தங்குமிட வசதிகளை வழங்கும் சமூகத்தால் நிர்வகிக்கப்படும் சத்திரம்.")</f>
        <v>யாத்ரீகர்களுக்கு தங்குமிட வசதிகளை வழங்கும் சமூகத்தால் நிர்வகிக்கப்படும் சத்திரம்.</v>
      </c>
      <c r="O63" s="10" t="str">
        <f>IFERROR(__xludf.DUMMYFUNCTION("GOOGLETRANSLATE(K63,""en"",""kn"")"),"ಸಮುದಾಯ-ನಿರ್ವಹಣೆಯ ಸತ್ರಂ, ಯಾತ್ರಿಕರಿಗೆ ವಸತಿ ಸೌಲಭ್ಯಗಳನ್ನು ನೀಡುತ್ತದೆ.")</f>
        <v>ಸಮುದಾಯ-ನಿರ್ವಹಣೆಯ ಸತ್ರಂ, ಯಾತ್ರಿಕರಿಗೆ ವಸತಿ ಸೌಲಭ್ಯಗಳನ್ನು ನೀಡುತ್ತದೆ.</v>
      </c>
      <c r="P63" s="10" t="str">
        <f>IFERROR(__xludf.DUMMYFUNCTION("GOOGLETRANSLATE(K63,""en"",""ml"")"),"തീർത്ഥാടകർക്ക് താമസ സൗകര്യം ഒരുക്കുന്ന സമൂഹം നിയന്ത്രിക്കുന്ന സത്രം.")</f>
        <v>തീർത്ഥാടകർക്ക് താമസ സൗകര്യം ഒരുക്കുന്ന സമൂഹം നിയന്ത്രിക്കുന്ന സത്രം.</v>
      </c>
    </row>
    <row r="64">
      <c r="A64" s="6">
        <f t="shared" si="1"/>
        <v>63</v>
      </c>
      <c r="B64" s="6" t="s">
        <v>233</v>
      </c>
      <c r="C64" s="6">
        <v>16.0775625</v>
      </c>
      <c r="D64" s="6">
        <v>78.8650688</v>
      </c>
      <c r="E64" s="5" t="s">
        <v>178</v>
      </c>
      <c r="F64" s="11" t="str">
        <f>IFERROR(__xludf.DUMMYFUNCTION("GOOGLETRANSLATE(B64,""en"",""te"")"),"శ్రీ శైవ మహా పీఠం శాఖ")</f>
        <v>శ్రీ శైవ మహా పీఠం శాఖ</v>
      </c>
      <c r="G64" s="10" t="str">
        <f>IFERROR(__xludf.DUMMYFUNCTION("GOOGLETRANSLATE(B64,""en"",""hi"")"),"श्री शैव महा पीठम शाखा")</f>
        <v>श्री शैव महा पीठम शाखा</v>
      </c>
      <c r="H64" s="10" t="str">
        <f>IFERROR(__xludf.DUMMYFUNCTION("GOOGLETRANSLATE(B64,""en"",""ta"")"),"ஸ்ரீ சைவ மகா பீடம் சகா")</f>
        <v>ஸ்ரீ சைவ மகா பீடம் சகா</v>
      </c>
      <c r="I64" s="10" t="str">
        <f>IFERROR(__xludf.DUMMYFUNCTION("GOOGLETRANSLATE(B64,""en"",""kn"")"),"ಶ್ರೀ ಶೈವ ಮಹಾ ಪೀಠ ಸಖಾ")</f>
        <v>ಶ್ರೀ ಶೈವ ಮಹಾ ಪೀಠ ಸಖಾ</v>
      </c>
      <c r="J64" s="10" t="str">
        <f>IFERROR(__xludf.DUMMYFUNCTION("GOOGLETRANSLATE(B64,""en"",""ml"")"),"ശ്രീ ശൈവ മഹാപീഠം ശാഖ")</f>
        <v>ശ്രീ ശൈവ മഹാപീഠം ശാഖ</v>
      </c>
      <c r="K64" s="12" t="s">
        <v>234</v>
      </c>
      <c r="L64" s="10" t="str">
        <f>IFERROR(__xludf.DUMMYFUNCTION("GOOGLETRANSLATE(K64,""en"",""te"")"),"యాత్రికుల వసతి కల్పించే శైవ మత సంస్థ సౌకర్యం.")</f>
        <v>యాత్రికుల వసతి కల్పించే శైవ మత సంస్థ సౌకర్యం.</v>
      </c>
      <c r="M64" s="10" t="str">
        <f>IFERROR(__xludf.DUMMYFUNCTION("GOOGLETRANSLATE(K64,""en"",""hi"")"),"शैव धार्मिक संगठन द्वारा तीर्थयात्रियों के लिए आवास की सुविधा उपलब्ध कराई गई है।")</f>
        <v>शैव धार्मिक संगठन द्वारा तीर्थयात्रियों के लिए आवास की सुविधा उपलब्ध कराई गई है।</v>
      </c>
      <c r="N64" s="10" t="str">
        <f>IFERROR(__xludf.DUMMYFUNCTION("GOOGLETRANSLATE(K64,""en"",""ta"")"),"யாத்ரீகர் தங்குமிட வசதியை வழங்கும் சைவ மத அமைப்பு வசதி.")</f>
        <v>யாத்ரீகர் தங்குமிட வசதியை வழங்கும் சைவ மத அமைப்பு வசதி.</v>
      </c>
      <c r="O64" s="10" t="str">
        <f>IFERROR(__xludf.DUMMYFUNCTION("GOOGLETRANSLATE(K64,""en"",""kn"")"),"ಶೈವ ಧಾರ್ಮಿಕ ಸಂಸ್ಥೆಯ ಸೌಲಭ್ಯವು ಯಾತ್ರಿಕರಿಗೆ ವಸತಿ ಸೌಕರ್ಯವನ್ನು ಒದಗಿಸುತ್ತದೆ.")</f>
        <v>ಶೈವ ಧಾರ್ಮಿಕ ಸಂಸ್ಥೆಯ ಸೌಲಭ್ಯವು ಯಾತ್ರಿಕರಿಗೆ ವಸತಿ ಸೌಕರ್ಯವನ್ನು ಒದಗಿಸುತ್ತದೆ.</v>
      </c>
      <c r="P64" s="10" t="str">
        <f>IFERROR(__xludf.DUMMYFUNCTION("GOOGLETRANSLATE(K64,""en"",""ml"")"),"തീർത്ഥാടകർക്ക് താമസ സൗകര്യം ഒരുക്കുന്ന ശൈവ മത സംഘടനാ സൗകര്യം.")</f>
        <v>തീർത്ഥാടകർക്ക് താമസ സൗകര്യം ഒരുക്കുന്ന ശൈവ മത സംഘടനാ സൗകര്യം.</v>
      </c>
    </row>
    <row r="65">
      <c r="A65" s="6">
        <f t="shared" si="1"/>
        <v>64</v>
      </c>
      <c r="B65" s="6" t="s">
        <v>235</v>
      </c>
      <c r="C65" s="6">
        <v>16.0784568</v>
      </c>
      <c r="D65" s="6">
        <v>78.8662128</v>
      </c>
      <c r="E65" s="5" t="s">
        <v>178</v>
      </c>
      <c r="F65" s="11" t="str">
        <f>IFERROR(__xludf.DUMMYFUNCTION("GOOGLETRANSLATE(B65,""en"",""te"")"),"ఫీనిక్స్ శంకర నిలయం")</f>
        <v>ఫీనిక్స్ శంకర నిలయం</v>
      </c>
      <c r="G65" s="10" t="str">
        <f>IFERROR(__xludf.DUMMYFUNCTION("GOOGLETRANSLATE(B65,""en"",""hi"")"),"फीनिक्स शंकर निलयम")</f>
        <v>फीनिक्स शंकर निलयम</v>
      </c>
      <c r="H65" s="10" t="str">
        <f>IFERROR(__xludf.DUMMYFUNCTION("GOOGLETRANSLATE(B65,""en"",""ta"")"),"பீனிக்ஸ் சங்கர நிலையம்")</f>
        <v>பீனிக்ஸ் சங்கர நிலையம்</v>
      </c>
      <c r="I65" s="10" t="str">
        <f>IFERROR(__xludf.DUMMYFUNCTION("GOOGLETRANSLATE(B65,""en"",""kn"")"),"ಫೀನಿಕ್ಸ್ ಶಂಕರ ನಿಲಯಂ")</f>
        <v>ಫೀನಿಕ್ಸ್ ಶಂಕರ ನಿಲಯಂ</v>
      </c>
      <c r="J65" s="10" t="str">
        <f>IFERROR(__xludf.DUMMYFUNCTION("GOOGLETRANSLATE(B65,""en"",""ml"")"),"ഫീനിക്സ് ശങ്കര നിലയം")</f>
        <v>ഫീനിക്സ് ശങ്കര നിലയം</v>
      </c>
      <c r="K65" s="12" t="s">
        <v>236</v>
      </c>
      <c r="L65" s="10" t="str">
        <f>IFERROR(__xludf.DUMMYFUNCTION("GOOGLETRANSLATE(K65,""en"",""te"")"),"ప్రాథమిక బస ఏర్పాట్లను అందించే యాత్రికుల వసతి సౌకర్యం.")</f>
        <v>ప్రాథమిక బస ఏర్పాట్లను అందించే యాత్రికుల వసతి సౌకర్యం.</v>
      </c>
      <c r="M65" s="10" t="str">
        <f>IFERROR(__xludf.DUMMYFUNCTION("GOOGLETRANSLATE(K65,""en"",""hi"")"),"तीर्थयात्रियों के लिए ठहरने की बुनियादी व्यवस्था उपलब्ध कराने वाला आवास।")</f>
        <v>तीर्थयात्रियों के लिए ठहरने की बुनियादी व्यवस्था उपलब्ध कराने वाला आवास।</v>
      </c>
      <c r="N65" s="10" t="str">
        <f>IFERROR(__xludf.DUMMYFUNCTION("GOOGLETRANSLATE(K65,""en"",""ta"")"),"அடிப்படை தங்குமிட ஏற்பாடுகளை வழங்கும் யாத்ரீகர் தங்குமிட வசதி.")</f>
        <v>அடிப்படை தங்குமிட ஏற்பாடுகளை வழங்கும் யாத்ரீகர் தங்குமிட வசதி.</v>
      </c>
      <c r="O65" s="10" t="str">
        <f>IFERROR(__xludf.DUMMYFUNCTION("GOOGLETRANSLATE(K65,""en"",""kn"")"),"ಯಾತ್ರಿಕರ ವಸತಿ ಸೌಲಭ್ಯವು ಮೂಲಭೂತ ವಾಸ್ತವ್ಯ ವ್ಯವಸ್ಥೆಯನ್ನು ಒದಗಿಸುತ್ತದೆ.")</f>
        <v>ಯಾತ್ರಿಕರ ವಸತಿ ಸೌಲಭ್ಯವು ಮೂಲಭೂತ ವಾಸ್ತವ್ಯ ವ್ಯವಸ್ಥೆಯನ್ನು ಒದಗಿಸುತ್ತದೆ.</v>
      </c>
      <c r="P65" s="10" t="str">
        <f>IFERROR(__xludf.DUMMYFUNCTION("GOOGLETRANSLATE(K65,""en"",""ml"")"),"തീർത്ഥാടകർക്ക് അടിസ്ഥാന താമസ സൗകര്യങ്ങൾ ഒരുക്കുന്ന താമസ സൗകര്യം.")</f>
        <v>തീർത്ഥാടകർക്ക് അടിസ്ഥാന താമസ സൗകര്യങ്ങൾ ഒരുക്കുന്ന താമസ സൗകര്യം.</v>
      </c>
    </row>
    <row r="66">
      <c r="A66" s="6">
        <f t="shared" si="1"/>
        <v>65</v>
      </c>
      <c r="B66" s="6" t="s">
        <v>237</v>
      </c>
      <c r="C66" s="6">
        <v>16.0771408</v>
      </c>
      <c r="D66" s="6">
        <v>78.8666117</v>
      </c>
      <c r="E66" s="5" t="s">
        <v>178</v>
      </c>
      <c r="F66" s="20" t="s">
        <v>238</v>
      </c>
      <c r="G66" s="8" t="s">
        <v>239</v>
      </c>
      <c r="H66" s="8" t="s">
        <v>240</v>
      </c>
      <c r="I66" s="8" t="s">
        <v>241</v>
      </c>
      <c r="J66" s="8" t="s">
        <v>242</v>
      </c>
      <c r="K66" s="12" t="s">
        <v>243</v>
      </c>
      <c r="L66" s="10" t="str">
        <f>IFERROR(__xludf.DUMMYFUNCTION("GOOGLETRANSLATE(K66,""en"",""te"")"),"యాత్రికులకు ఉచిత భోజనం మరియు విశ్రాంతి స్థలాన్ని అందించే ఛారిటబుల్ చౌల్ట్రీ.")</f>
        <v>యాత్రికులకు ఉచిత భోజనం మరియు విశ్రాంతి స్థలాన్ని అందించే ఛారిటబుల్ చౌల్ట్రీ.</v>
      </c>
      <c r="M66" s="10" t="str">
        <f>IFERROR(__xludf.DUMMYFUNCTION("GOOGLETRANSLATE(K66,""en"",""hi"")"),"तीर्थयात्रियों के लिए मुफ्त भोजन और विश्राम स्थल उपलब्ध कराने वाला धर्मार्थ धर्मशाला।")</f>
        <v>तीर्थयात्रियों के लिए मुफ्त भोजन और विश्राम स्थल उपलब्ध कराने वाला धर्मार्थ धर्मशाला।</v>
      </c>
      <c r="N66" s="10" t="str">
        <f>IFERROR(__xludf.DUMMYFUNCTION("GOOGLETRANSLATE(K66,""en"",""ta"")"),"யாத்ரீகர்களுக்கு இலவச உணவு மற்றும் ஓய்வு இடத்தை வழங்கும் தொண்டு சத்திரம்.")</f>
        <v>யாத்ரீகர்களுக்கு இலவச உணவு மற்றும் ஓய்வு இடத்தை வழங்கும் தொண்டு சத்திரம்.</v>
      </c>
      <c r="O66" s="10" t="str">
        <f>IFERROR(__xludf.DUMMYFUNCTION("GOOGLETRANSLATE(K66,""en"",""kn"")"),"ಯಾತ್ರಿಕರಿಗೆ ಉಚಿತ ಊಟ ಮತ್ತು ವಿಶ್ರಾಂತಿ ಸ್ಥಳವನ್ನು ಒದಗಿಸುವ ದತ್ತಿ ಸಂಸ್ಥೆ.")</f>
        <v>ಯಾತ್ರಿಕರಿಗೆ ಉಚಿತ ಊಟ ಮತ್ತು ವಿಶ್ರಾಂತಿ ಸ್ಥಳವನ್ನು ಒದಗಿಸುವ ದತ್ತಿ ಸಂಸ್ಥೆ.</v>
      </c>
      <c r="P66" s="10" t="str">
        <f>IFERROR(__xludf.DUMMYFUNCTION("GOOGLETRANSLATE(K66,""en"",""ml"")"),"തീർത്ഥാടകർക്ക് സൗജന്യ ഭക്ഷണവും വിശ്രമ സ്ഥലവും നൽകുന്ന ചാരിറ്റബിൾ ചൗൾട്രി.")</f>
        <v>തീർത്ഥാടകർക്ക് സൗജന്യ ഭക്ഷണവും വിശ്രമ സ്ഥലവും നൽകുന്ന ചാരിറ്റബിൾ ചൗൾട്രി.</v>
      </c>
    </row>
    <row r="67">
      <c r="A67" s="6">
        <f t="shared" si="1"/>
        <v>66</v>
      </c>
      <c r="B67" s="6" t="s">
        <v>244</v>
      </c>
      <c r="C67" s="6">
        <v>16.0681121</v>
      </c>
      <c r="D67" s="6">
        <v>78.8650195</v>
      </c>
      <c r="E67" s="5" t="s">
        <v>178</v>
      </c>
      <c r="F67" s="11" t="str">
        <f>IFERROR(__xludf.DUMMYFUNCTION("GOOGLETRANSLATE(B67,""en"",""te"")"),"గంగా బ్లాక్")</f>
        <v>గంగా బ్లాక్</v>
      </c>
      <c r="G67" s="10" t="str">
        <f>IFERROR(__xludf.DUMMYFUNCTION("GOOGLETRANSLATE(B67,""en"",""hi"")"),"गंगा ब्लॉक")</f>
        <v>गंगा ब्लॉक</v>
      </c>
      <c r="H67" s="10" t="str">
        <f>IFERROR(__xludf.DUMMYFUNCTION("GOOGLETRANSLATE(B67,""en"",""ta"")"),"கங்கா தொகுதி")</f>
        <v>கங்கா தொகுதி</v>
      </c>
      <c r="I67" s="10" t="str">
        <f>IFERROR(__xludf.DUMMYFUNCTION("GOOGLETRANSLATE(B67,""en"",""kn"")"),"ಗಂಗಾ ಬ್ಲಾಕ್")</f>
        <v>ಗಂಗಾ ಬ್ಲಾಕ್</v>
      </c>
      <c r="J67" s="10" t="str">
        <f>IFERROR(__xludf.DUMMYFUNCTION("GOOGLETRANSLATE(B67,""en"",""ml"")"),"ഗംഗാ ബ്ലോക്ക്")</f>
        <v>ഗംഗാ ബ്ലോക്ക്</v>
      </c>
      <c r="K67" s="12" t="s">
        <v>245</v>
      </c>
      <c r="L67" s="10" t="str">
        <f>IFERROR(__xludf.DUMMYFUNCTION("GOOGLETRANSLATE(K67,""en"",""te"")"),"ఆలయ సందర్శకులకు గదులను అందించే వసతి బ్లాక్.")</f>
        <v>ఆలయ సందర్శకులకు గదులను అందించే వసతి బ్లాక్.</v>
      </c>
      <c r="M67" s="10" t="str">
        <f>IFERROR(__xludf.DUMMYFUNCTION("GOOGLETRANSLATE(K67,""en"",""hi"")"),"मंदिर में आने वाले श्रद्धालुओं के लिए कमरे उपलब्ध कराने वाला आवास ब्लॉक।")</f>
        <v>मंदिर में आने वाले श्रद्धालुओं के लिए कमरे उपलब्ध कराने वाला आवास ब्लॉक।</v>
      </c>
      <c r="N67" s="10" t="str">
        <f>IFERROR(__xludf.DUMMYFUNCTION("GOOGLETRANSLATE(K67,""en"",""ta"")"),"கோயில் பார்வையாளர்களுக்கு அறைகளை வழங்கும் தங்குமிடத் தொகுதி.")</f>
        <v>கோயில் பார்வையாளர்களுக்கு அறைகளை வழங்கும் தங்குமிடத் தொகுதி.</v>
      </c>
      <c r="O67" s="10" t="str">
        <f>IFERROR(__xludf.DUMMYFUNCTION("GOOGLETRANSLATE(K67,""en"",""kn"")"),"ದೇವಾಲಯ ಸಂದರ್ಶಕರಿಗೆ ಕೊಠಡಿಗಳನ್ನು ಒದಗಿಸುವ ವಸತಿ ಬ್ಲಾಕ್.")</f>
        <v>ದೇವಾಲಯ ಸಂದರ್ಶಕರಿಗೆ ಕೊಠಡಿಗಳನ್ನು ಒದಗಿಸುವ ವಸತಿ ಬ್ಲಾಕ್.</v>
      </c>
      <c r="P67" s="10" t="str">
        <f>IFERROR(__xludf.DUMMYFUNCTION("GOOGLETRANSLATE(K67,""en"",""ml"")"),"ക്ഷേത്ര സന്ദർശകർക്ക് മുറികൾ നൽകുന്ന താമസ ബ്ലോക്ക്.")</f>
        <v>ക്ഷേത്ര സന്ദർശകർക്ക് മുറികൾ നൽകുന്ന താമസ ബ്ലോക്ക്.</v>
      </c>
    </row>
    <row r="68">
      <c r="A68" s="6">
        <f t="shared" si="1"/>
        <v>67</v>
      </c>
      <c r="B68" s="6" t="s">
        <v>246</v>
      </c>
      <c r="C68" s="6">
        <v>16.0675656</v>
      </c>
      <c r="D68" s="6">
        <v>78.8651475</v>
      </c>
      <c r="E68" s="5" t="s">
        <v>178</v>
      </c>
      <c r="F68" s="11" t="str">
        <f>IFERROR(__xludf.DUMMYFUNCTION("GOOGLETRANSLATE(B68,""en"",""te"")"),"సరస్వతి బ్లాక్")</f>
        <v>సరస్వతి బ్లాక్</v>
      </c>
      <c r="G68" s="10" t="str">
        <f>IFERROR(__xludf.DUMMYFUNCTION("GOOGLETRANSLATE(B68,""en"",""hi"")"),"सरस्वती ब्लॉक")</f>
        <v>सरस्वती ब्लॉक</v>
      </c>
      <c r="H68" s="10" t="str">
        <f>IFERROR(__xludf.DUMMYFUNCTION("GOOGLETRANSLATE(B68,""en"",""ta"")"),"சரஸ்வதி தொகுதி")</f>
        <v>சரஸ்வதி தொகுதி</v>
      </c>
      <c r="I68" s="10" t="str">
        <f>IFERROR(__xludf.DUMMYFUNCTION("GOOGLETRANSLATE(B68,""en"",""kn"")"),"ಸರಸ್ವತಿ ಬ್ಲಾಕ್")</f>
        <v>ಸರಸ್ವತಿ ಬ್ಲಾಕ್</v>
      </c>
      <c r="J68" s="10" t="str">
        <f>IFERROR(__xludf.DUMMYFUNCTION("GOOGLETRANSLATE(B68,""en"",""ml"")"),"സരസ്വതി ബ്ലോക്ക്")</f>
        <v>സരസ്വതി ബ്ലോക്ക്</v>
      </c>
      <c r="K68" s="12" t="s">
        <v>247</v>
      </c>
      <c r="L68" s="10" t="str">
        <f>IFERROR(__xludf.DUMMYFUNCTION("GOOGLETRANSLATE(K68,""en"",""te"")"),"ఆలయ ప్రాంతానికి సమీపంలో సరళమైన గదులను అందించే యాత్రికుల వసతి బ్లాక్.")</f>
        <v>ఆలయ ప్రాంతానికి సమీపంలో సరళమైన గదులను అందించే యాత్రికుల వసతి బ్లాక్.</v>
      </c>
      <c r="M68" s="10" t="str">
        <f>IFERROR(__xludf.DUMMYFUNCTION("GOOGLETRANSLATE(K68,""en"",""hi"")"),"मंदिर क्षेत्र के पास स्थित तीर्थयात्री आवास ब्लॉक में साधारण कमरे उपलब्ध हैं।")</f>
        <v>मंदिर क्षेत्र के पास स्थित तीर्थयात्री आवास ब्लॉक में साधारण कमरे उपलब्ध हैं।</v>
      </c>
      <c r="N68" s="10" t="str">
        <f>IFERROR(__xludf.DUMMYFUNCTION("GOOGLETRANSLATE(K68,""en"",""ta"")"),"கோயில் பகுதிக்கு அருகில் எளிய அறைகளை வழங்கும் யாத்ரீகர் தங்குமிடத் தொகுதி.")</f>
        <v>கோயில் பகுதிக்கு அருகில் எளிய அறைகளை வழங்கும் யாத்ரீகர் தங்குமிடத் தொகுதி.</v>
      </c>
      <c r="O68" s="10" t="str">
        <f>IFERROR(__xludf.DUMMYFUNCTION("GOOGLETRANSLATE(K68,""en"",""kn"")"),"ದೇವಾಲಯದ ಪ್ರದೇಶದ ಬಳಿ ಸರಳ ಕೊಠಡಿಗಳನ್ನು ನೀಡುವ ಯಾತ್ರಿಕರ ವಸತಿ ಬ್ಲಾಕ್.")</f>
        <v>ದೇವಾಲಯದ ಪ್ರದೇಶದ ಬಳಿ ಸರಳ ಕೊಠಡಿಗಳನ್ನು ನೀಡುವ ಯಾತ್ರಿಕರ ವಸತಿ ಬ್ಲಾಕ್.</v>
      </c>
      <c r="P68" s="10" t="str">
        <f>IFERROR(__xludf.DUMMYFUNCTION("GOOGLETRANSLATE(K68,""en"",""ml"")"),"ക്ഷേത്ര പരിസരത്തിന് സമീപം ലളിതമായ മുറികൾ വാഗ്ദാനം ചെയ്യുന്ന തീർത്ഥാടക താമസ ബ്ലോക്ക്.")</f>
        <v>ക്ഷേത്ര പരിസരത്തിന് സമീപം ലളിതമായ മുറികൾ വാഗ്ദാനം ചെയ്യുന്ന തീർത്ഥാടക താമസ ബ്ലോക്ക്.</v>
      </c>
    </row>
    <row r="69">
      <c r="A69" s="6">
        <f t="shared" si="1"/>
        <v>68</v>
      </c>
      <c r="B69" s="6" t="s">
        <v>248</v>
      </c>
      <c r="C69" s="6">
        <v>16.0683198</v>
      </c>
      <c r="D69" s="6">
        <v>78.8654832</v>
      </c>
      <c r="E69" s="5" t="s">
        <v>178</v>
      </c>
      <c r="F69" s="11" t="str">
        <f>IFERROR(__xludf.DUMMYFUNCTION("GOOGLETRANSLATE(B69,""en"",""te"")"),"గణేశ సదన్")</f>
        <v>గణేశ సదన్</v>
      </c>
      <c r="G69" s="10" t="str">
        <f>IFERROR(__xludf.DUMMYFUNCTION("GOOGLETRANSLATE(B69,""en"",""hi"")"),"गणेश सदन")</f>
        <v>गणेश सदन</v>
      </c>
      <c r="H69" s="10" t="str">
        <f>IFERROR(__xludf.DUMMYFUNCTION("GOOGLETRANSLATE(B69,""en"",""ta"")"),"கணேஷா சதன்")</f>
        <v>கணேஷா சதன்</v>
      </c>
      <c r="I69" s="10" t="str">
        <f>IFERROR(__xludf.DUMMYFUNCTION("GOOGLETRANSLATE(B69,""en"",""kn"")"),"ಗಣೇಶ ಸದನ")</f>
        <v>ಗಣೇಶ ಸದನ</v>
      </c>
      <c r="J69" s="10" t="str">
        <f>IFERROR(__xludf.DUMMYFUNCTION("GOOGLETRANSLATE(B69,""en"",""ml"")"),"ഗണേശ സദൻ")</f>
        <v>ഗണേശ സദൻ</v>
      </c>
      <c r="K69" s="12" t="s">
        <v>249</v>
      </c>
      <c r="L69" s="10" t="str">
        <f>IFERROR(__xludf.DUMMYFUNCTION("GOOGLETRANSLATE(K69,""en"",""te"")"),"ప్రాథమిక వసతి సౌకర్యాలను అందించే యాత్రికుల విశ్రాంతి గృహం.")</f>
        <v>ప్రాథమిక వసతి సౌకర్యాలను అందించే యాత్రికుల విశ్రాంతి గృహం.</v>
      </c>
      <c r="M69" s="10" t="str">
        <f>IFERROR(__xludf.DUMMYFUNCTION("GOOGLETRANSLATE(K69,""en"",""hi"")"),"तीर्थयात्रियों के लिए विश्राम गृह जो बुनियादी आवास सुविधाएं प्रदान करता है।")</f>
        <v>तीर्थयात्रियों के लिए विश्राम गृह जो बुनियादी आवास सुविधाएं प्रदान करता है।</v>
      </c>
      <c r="N69" s="10" t="str">
        <f>IFERROR(__xludf.DUMMYFUNCTION("GOOGLETRANSLATE(K69,""en"",""ta"")"),"அடிப்படை தங்குமிட வசதிகளை வழங்கும் யாத்ரீகர் ஓய்வு இல்லம்.")</f>
        <v>அடிப்படை தங்குமிட வசதிகளை வழங்கும் யாத்ரீகர் ஓய்வு இல்லம்.</v>
      </c>
      <c r="O69" s="10" t="str">
        <f>IFERROR(__xludf.DUMMYFUNCTION("GOOGLETRANSLATE(K69,""en"",""kn"")"),"ಯಾತ್ರಿಕರ ವಿಶ್ರಾಂತಿ ಗೃಹವು ಮೂಲಭೂತ ವಸತಿ ಸೌಲಭ್ಯಗಳನ್ನು ಒದಗಿಸುತ್ತದೆ.")</f>
        <v>ಯಾತ್ರಿಕರ ವಿಶ್ರಾಂತಿ ಗೃಹವು ಮೂಲಭೂತ ವಸತಿ ಸೌಲಭ್ಯಗಳನ್ನು ಒದಗಿಸುತ್ತದೆ.</v>
      </c>
      <c r="P69" s="10" t="str">
        <f>IFERROR(__xludf.DUMMYFUNCTION("GOOGLETRANSLATE(K69,""en"",""ml"")"),"തീർത്ഥാടകരുടെ വിശ്രമകേന്ദ്രം, അടിസ്ഥാന താമസ സൗകര്യങ്ങൾ ഒരുക്കുന്നു.")</f>
        <v>തീർത്ഥാടകരുടെ വിശ്രമകേന്ദ്രം, അടിസ്ഥാന താമസ സൗകര്യങ്ങൾ ഒരുക്കുന്നു.</v>
      </c>
    </row>
    <row r="70">
      <c r="A70" s="6">
        <f t="shared" si="1"/>
        <v>69</v>
      </c>
      <c r="B70" s="6" t="s">
        <v>250</v>
      </c>
      <c r="C70" s="6">
        <v>16.0716542</v>
      </c>
      <c r="D70" s="6">
        <v>78.8679341</v>
      </c>
      <c r="E70" s="5" t="s">
        <v>178</v>
      </c>
      <c r="F70" s="11" t="str">
        <f>IFERROR(__xludf.DUMMYFUNCTION("GOOGLETRANSLATE(B70,""en"",""te"")"),"యాదవ సత్రం")</f>
        <v>యాదవ సత్రం</v>
      </c>
      <c r="G70" s="10" t="str">
        <f>IFERROR(__xludf.DUMMYFUNCTION("GOOGLETRANSLATE(B70,""en"",""hi"")"),"यादवा सतराम")</f>
        <v>यादवा सतराम</v>
      </c>
      <c r="H70" s="10" t="str">
        <f>IFERROR(__xludf.DUMMYFUNCTION("GOOGLETRANSLATE(B70,""en"",""ta"")"),"யாதவ சத்திரம்")</f>
        <v>யாதவ சத்திரம்</v>
      </c>
      <c r="I70" s="10" t="str">
        <f>IFERROR(__xludf.DUMMYFUNCTION("GOOGLETRANSLATE(B70,""en"",""kn"")"),"ಯಾದವ ಸತ್ರಂ")</f>
        <v>ಯಾದವ ಸತ್ರಂ</v>
      </c>
      <c r="J70" s="10" t="str">
        <f>IFERROR(__xludf.DUMMYFUNCTION("GOOGLETRANSLATE(B70,""en"",""ml"")"),"യാദവ സത്രം")</f>
        <v>യാദവ സത്രം</v>
      </c>
      <c r="K70" s="12" t="s">
        <v>251</v>
      </c>
      <c r="L70" s="10" t="str">
        <f>IFERROR(__xludf.DUMMYFUNCTION("GOOGLETRANSLATE(K70,""en"",""te"")"),"యాదవ భక్తుల కోసం కమ్యూనిటీ నిర్వహించే సత్రం వసతి కల్పిస్తోంది.")</f>
        <v>యాదవ భక్తుల కోసం కమ్యూనిటీ నిర్వహించే సత్రం వసతి కల్పిస్తోంది.</v>
      </c>
      <c r="M70" s="10" t="str">
        <f>IFERROR(__xludf.DUMMYFUNCTION("GOOGLETRANSLATE(K70,""en"",""hi"")"),"समुदाय द्वारा संचालित सतराम यादव भक्तों के लिए आवास की पेशकश करता है।")</f>
        <v>समुदाय द्वारा संचालित सतराम यादव भक्तों के लिए आवास की पेशकश करता है।</v>
      </c>
      <c r="N70" s="10" t="str">
        <f>IFERROR(__xludf.DUMMYFUNCTION("GOOGLETRANSLATE(K70,""en"",""ta"")"),"சமூகத்தால் நடத்தப்படும் சத்திரம் யாதவ பக்தர்களுக்கான தங்குமிடத்தை வழங்குகிறது.")</f>
        <v>சமூகத்தால் நடத்தப்படும் சத்திரம் யாதவ பக்தர்களுக்கான தங்குமிடத்தை வழங்குகிறது.</v>
      </c>
      <c r="O70" s="10" t="str">
        <f>IFERROR(__xludf.DUMMYFUNCTION("GOOGLETRANSLATE(K70,""en"",""kn"")"),"ಸಮುದಾಯ ನಡೆಸುತ್ತಿರುವ ಸತ್ರಂ ಯಾದವ ಭಕ್ತರಿಗೆ ವಸತಿ ನೀಡುತ್ತಿದೆ.")</f>
        <v>ಸಮುದಾಯ ನಡೆಸುತ್ತಿರುವ ಸತ್ರಂ ಯಾದವ ಭಕ್ತರಿಗೆ ವಸತಿ ನೀಡುತ್ತಿದೆ.</v>
      </c>
      <c r="P70" s="10" t="str">
        <f>IFERROR(__xludf.DUMMYFUNCTION("GOOGLETRANSLATE(K70,""en"",""ml"")"),"യാദവ ഭക്തർക്ക് താമസ സൗകര്യം വാഗ്ദാനം ചെയ്യുന്ന സമൂഹം നടത്തുന്ന സത്രം.")</f>
        <v>യാദവ ഭക്തർക്ക് താമസ സൗകര്യം വാഗ്ദാനം ചെയ്യുന്ന സമൂഹം നടത്തുന്ന സത്രം.</v>
      </c>
    </row>
    <row r="71">
      <c r="A71" s="6">
        <f t="shared" si="1"/>
        <v>70</v>
      </c>
      <c r="B71" s="6" t="s">
        <v>252</v>
      </c>
      <c r="C71" s="6">
        <v>16.0719085</v>
      </c>
      <c r="D71" s="6">
        <v>78.8719704</v>
      </c>
      <c r="E71" s="5" t="s">
        <v>178</v>
      </c>
      <c r="F71" s="11" t="str">
        <f>IFERROR(__xludf.DUMMYFUNCTION("GOOGLETRANSLATE(B71,""en"",""te"")"),"గంగా సదన్")</f>
        <v>గంగా సదన్</v>
      </c>
      <c r="G71" s="10" t="str">
        <f>IFERROR(__xludf.DUMMYFUNCTION("GOOGLETRANSLATE(B71,""en"",""hi"")"),"गंगा सदन")</f>
        <v>गंगा सदन</v>
      </c>
      <c r="H71" s="10" t="str">
        <f>IFERROR(__xludf.DUMMYFUNCTION("GOOGLETRANSLATE(B71,""en"",""ta"")"),"கங்கா சதன்")</f>
        <v>கங்கா சதன்</v>
      </c>
      <c r="I71" s="10" t="str">
        <f>IFERROR(__xludf.DUMMYFUNCTION("GOOGLETRANSLATE(B71,""en"",""kn"")"),"ಗಂಗಾ ಸದನ")</f>
        <v>ಗಂಗಾ ಸದನ</v>
      </c>
      <c r="J71" s="10" t="str">
        <f>IFERROR(__xludf.DUMMYFUNCTION("GOOGLETRANSLATE(B71,""en"",""ml"")"),"ഗംഗാ സദൻ")</f>
        <v>ഗംഗാ സദൻ</v>
      </c>
      <c r="K71" s="12" t="s">
        <v>253</v>
      </c>
      <c r="L71" s="10" t="str">
        <f>IFERROR(__xludf.DUMMYFUNCTION("GOOGLETRANSLATE(K71,""en"",""te"")"),"పాతాల గంగ ప్రాంతానికి సమీపంలో ఉన్న యాత్రికుల వసతి సౌకర్యం.")</f>
        <v>పాతాల గంగ ప్రాంతానికి సమీపంలో ఉన్న యాత్రికుల వసతి సౌకర్యం.</v>
      </c>
      <c r="M71" s="10" t="str">
        <f>IFERROR(__xludf.DUMMYFUNCTION("GOOGLETRANSLATE(K71,""en"",""hi"")"),"यह तीर्थयात्री आवास सुविधा पाताल गंगा क्षेत्र के निकट स्थित है।")</f>
        <v>यह तीर्थयात्री आवास सुविधा पाताल गंगा क्षेत्र के निकट स्थित है।</v>
      </c>
      <c r="N71" s="10" t="str">
        <f>IFERROR(__xludf.DUMMYFUNCTION("GOOGLETRANSLATE(K71,""en"",""ta"")"),"பாதாள கங்கை பகுதிக்கு அருகில் அமைந்துள்ள யாத்ரீகர் தங்குமிட வசதி.")</f>
        <v>பாதாள கங்கை பகுதிக்கு அருகில் அமைந்துள்ள யாத்ரீகர் தங்குமிட வசதி.</v>
      </c>
      <c r="O71" s="10" t="str">
        <f>IFERROR(__xludf.DUMMYFUNCTION("GOOGLETRANSLATE(K71,""en"",""kn"")"),"ಪಾತಾಳ ಗಂಗಾ ಪ್ರದೇಶದ ಬಳಿ ಇರುವ ಯಾತ್ರಿಕರ ವಸತಿ ಸೌಲಭ್ಯ.")</f>
        <v>ಪಾತಾಳ ಗಂಗಾ ಪ್ರದೇಶದ ಬಳಿ ಇರುವ ಯಾತ್ರಿಕರ ವಸತಿ ಸೌಲಭ್ಯ.</v>
      </c>
      <c r="P71" s="10" t="str">
        <f>IFERROR(__xludf.DUMMYFUNCTION("GOOGLETRANSLATE(K71,""en"",""ml"")"),"പാതാള ഗംഗ പ്രദേശത്തിന് സമീപം സ്ഥിതി ചെയ്യുന്ന തീർത്ഥാടക താമസ സൗകര്യം.")</f>
        <v>പാതാള ഗംഗ പ്രദേശത്തിന് സമീപം സ്ഥിതി ചെയ്യുന്ന തീർത്ഥാടക താമസ സൗകര്യം.</v>
      </c>
    </row>
    <row r="72">
      <c r="A72" s="6">
        <f t="shared" si="1"/>
        <v>71</v>
      </c>
      <c r="B72" s="6" t="s">
        <v>254</v>
      </c>
      <c r="C72" s="6">
        <v>16.0733934</v>
      </c>
      <c r="D72" s="6">
        <v>78.8707064</v>
      </c>
      <c r="E72" s="5" t="s">
        <v>178</v>
      </c>
      <c r="F72" s="11" t="str">
        <f>IFERROR(__xludf.DUMMYFUNCTION("GOOGLETRANSLATE(B72,""en"",""te"")"),"లింగాయత్ సత్రం")</f>
        <v>లింగాయత్ సత్రం</v>
      </c>
      <c r="G72" s="10" t="str">
        <f>IFERROR(__xludf.DUMMYFUNCTION("GOOGLETRANSLATE(B72,""en"",""hi"")"),"लिंगायत सतराम")</f>
        <v>लिंगायत सतराम</v>
      </c>
      <c r="H72" s="10" t="str">
        <f>IFERROR(__xludf.DUMMYFUNCTION("GOOGLETRANSLATE(B72,""en"",""ta"")"),"லிங்காயத் சத்திரம்")</f>
        <v>லிங்காயத் சத்திரம்</v>
      </c>
      <c r="I72" s="10" t="str">
        <f>IFERROR(__xludf.DUMMYFUNCTION("GOOGLETRANSLATE(B72,""en"",""kn"")"),"ಲಿಂಗಾಯತ ಸತ್ರಂ")</f>
        <v>ಲಿಂಗಾಯತ ಸತ್ರಂ</v>
      </c>
      <c r="J72" s="10" t="str">
        <f>IFERROR(__xludf.DUMMYFUNCTION("GOOGLETRANSLATE(B72,""en"",""ml"")"),"ലിംഗായത്ത് സത്രം")</f>
        <v>ലിംഗായത്ത് സത്രം</v>
      </c>
      <c r="K72" s="12" t="s">
        <v>255</v>
      </c>
      <c r="L72" s="10" t="str">
        <f>IFERROR(__xludf.DUMMYFUNCTION("GOOGLETRANSLATE(K72,""en"",""te"")"),"యాత్రికుల వసతి కోసం లింగాయత్ కమ్యూనిటీ ట్రస్ట్ నిర్వహించే సత్రం.")</f>
        <v>యాత్రికుల వసతి కోసం లింగాయత్ కమ్యూనిటీ ట్రస్ట్ నిర్వహించే సత్రం.</v>
      </c>
      <c r="M72" s="10" t="str">
        <f>IFERROR(__xludf.DUMMYFUNCTION("GOOGLETRANSLATE(K72,""en"",""hi"")"),"सतराम का प्रबंधन लिंगायत समुदाय ट्रस्ट द्वारा तीर्थयात्रियों के आवास के लिए किया जाता है।")</f>
        <v>सतराम का प्रबंधन लिंगायत समुदाय ट्रस्ट द्वारा तीर्थयात्रियों के आवास के लिए किया जाता है।</v>
      </c>
      <c r="N72" s="10" t="str">
        <f>IFERROR(__xludf.DUMMYFUNCTION("GOOGLETRANSLATE(K72,""en"",""ta"")"),"யாத்ரீகர் தங்குமிடத்திற்காக லிங்காயத் சமூக அறக்கட்டளையால் நிர்வகிக்கப்படும் சத்ரம்.")</f>
        <v>யாத்ரீகர் தங்குமிடத்திற்காக லிங்காயத் சமூக அறக்கட்டளையால் நிர்வகிக்கப்படும் சத்ரம்.</v>
      </c>
      <c r="O72" s="10" t="str">
        <f>IFERROR(__xludf.DUMMYFUNCTION("GOOGLETRANSLATE(K72,""en"",""kn"")"),"ಯಾತ್ರಿಕರ ವಸತಿಗಾಗಿ ಲಿಂಗಾಯತ ಸಮುದಾಯ ಟ್ರಸ್ಟ್ ನಿರ್ವಹಿಸುವ ಸತ್ರಂ.")</f>
        <v>ಯಾತ್ರಿಕರ ವಸತಿಗಾಗಿ ಲಿಂಗಾಯತ ಸಮುದಾಯ ಟ್ರಸ್ಟ್ ನಿರ್ವಹಿಸುವ ಸತ್ರಂ.</v>
      </c>
      <c r="P72" s="10" t="str">
        <f>IFERROR(__xludf.DUMMYFUNCTION("GOOGLETRANSLATE(K72,""en"",""ml"")"),"തീർത്ഥാടകരുടെ താമസത്തിനായി ലിംഗായത്ത് കമ്മ്യൂണിറ്റി ട്രസ്റ്റ് നടത്തുന്ന സത്രം.")</f>
        <v>തീർത്ഥാടകരുടെ താമസത്തിനായി ലിംഗായത്ത് കമ്മ്യൂണിറ്റി ട്രസ്റ്റ് നടത്തുന്ന സത്രം.</v>
      </c>
    </row>
    <row r="73">
      <c r="A73" s="6">
        <f t="shared" si="1"/>
        <v>72</v>
      </c>
      <c r="B73" s="6" t="s">
        <v>256</v>
      </c>
      <c r="C73" s="6">
        <v>16.0757559</v>
      </c>
      <c r="D73" s="6">
        <v>78.8714218</v>
      </c>
      <c r="E73" s="5" t="s">
        <v>178</v>
      </c>
      <c r="F73" s="11" t="str">
        <f>IFERROR(__xludf.DUMMYFUNCTION("GOOGLETRANSLATE(B73,""en"",""te"")"),"క్షత్రియ సత్రం, శ్రీశైలం")</f>
        <v>క్షత్రియ సత్రం, శ్రీశైలం</v>
      </c>
      <c r="G73" s="10" t="str">
        <f>IFERROR(__xludf.DUMMYFUNCTION("GOOGLETRANSLATE(B73,""en"",""hi"")"),"क्षत्रिय सतरम, श्रीशैलम")</f>
        <v>क्षत्रिय सतरम, श्रीशैलम</v>
      </c>
      <c r="H73" s="10" t="str">
        <f>IFERROR(__xludf.DUMMYFUNCTION("GOOGLETRANSLATE(B73,""en"",""ta"")"),"க்ஷத்திரிய சத்திரம், ஸ்ரீசைலம்")</f>
        <v>க்ஷத்திரிய சத்திரம், ஸ்ரீசைலம்</v>
      </c>
      <c r="I73" s="10" t="str">
        <f>IFERROR(__xludf.DUMMYFUNCTION("GOOGLETRANSLATE(B73,""en"",""kn"")"),"ಕ್ಷತ್ರಿಯ ಸತ್ರಂ, ಶ್ರೀಶೈಲಂ")</f>
        <v>ಕ್ಷತ್ರಿಯ ಸತ್ರಂ, ಶ್ರೀಶೈಲಂ</v>
      </c>
      <c r="J73" s="10" t="str">
        <f>IFERROR(__xludf.DUMMYFUNCTION("GOOGLETRANSLATE(B73,""en"",""ml"")"),"ക്ഷത്രിയ സത്രം, ശ്രീശൈലം")</f>
        <v>ക്ഷത്രിയ സത്രം, ശ്രീശൈലം</v>
      </c>
      <c r="K73" s="12" t="s">
        <v>257</v>
      </c>
      <c r="L73" s="10" t="str">
        <f>IFERROR(__xludf.DUMMYFUNCTION("GOOGLETRANSLATE(K73,""en"",""te"")"),"క్షత్రియ భక్తులకు వసతి కల్పించే సమాజ నిర్వహణ సత్రం.")</f>
        <v>క్షత్రియ భక్తులకు వసతి కల్పించే సమాజ నిర్వహణ సత్రం.</v>
      </c>
      <c r="M73" s="10" t="str">
        <f>IFERROR(__xludf.DUMMYFUNCTION("GOOGLETRANSLATE(K73,""en"",""hi"")"),"क्षत्रिय श्रद्धालुओं के लिए आवास की सुविधा प्रदान करने वाला सामुदायिक रूप से संचालित सत्रम।")</f>
        <v>क्षत्रिय श्रद्धालुओं के लिए आवास की सुविधा प्रदान करने वाला सामुदायिक रूप से संचालित सत्रम।</v>
      </c>
      <c r="N73" s="10" t="str">
        <f>IFERROR(__xludf.DUMMYFUNCTION("GOOGLETRANSLATE(K73,""en"",""ta"")"),"சமூகத்தால் நிர்வகிக்கப்படும் சத்திரம், க்ஷத்திரிய பக்தர்களுக்கு தங்குமிட வசதியை வழங்குகிறது.")</f>
        <v>சமூகத்தால் நிர்வகிக்கப்படும் சத்திரம், க்ஷத்திரிய பக்தர்களுக்கு தங்குமிட வசதியை வழங்குகிறது.</v>
      </c>
      <c r="O73" s="10" t="str">
        <f>IFERROR(__xludf.DUMMYFUNCTION("GOOGLETRANSLATE(K73,""en"",""kn"")"),"ಕ್ಷತ್ರಿಯ ಭಕ್ತರಿಗೆ ವಸತಿ ಒದಗಿಸುವ ಸಮುದಾಯ-ನಿರ್ವಹಣೆಯ ಸತ್ರಂ.")</f>
        <v>ಕ್ಷತ್ರಿಯ ಭಕ್ತರಿಗೆ ವಸತಿ ಒದಗಿಸುವ ಸಮುದಾಯ-ನಿರ್ವಹಣೆಯ ಸತ್ರಂ.</v>
      </c>
      <c r="P73" s="10" t="str">
        <f>IFERROR(__xludf.DUMMYFUNCTION("GOOGLETRANSLATE(K73,""en"",""ml"")"),"ക്ഷത്രിയ ഭക്തർക്ക് താമസ സൗകര്യം ഒരുക്കുന്ന സമൂഹം നിയന്ത്രിക്കുന്ന സത്രം.")</f>
        <v>ക്ഷത്രിയ ഭക്തർക്ക് താമസ സൗകര്യം ഒരുക്കുന്ന സമൂഹം നിയന്ത്രിക്കുന്ന സത്രം.</v>
      </c>
    </row>
    <row r="74">
      <c r="A74" s="6">
        <f t="shared" si="1"/>
        <v>73</v>
      </c>
      <c r="B74" s="6" t="s">
        <v>258</v>
      </c>
      <c r="C74" s="6">
        <v>16.0703691</v>
      </c>
      <c r="D74" s="6">
        <v>78.8748829</v>
      </c>
      <c r="E74" s="5" t="s">
        <v>178</v>
      </c>
      <c r="F74" s="11" t="str">
        <f>IFERROR(__xludf.DUMMYFUNCTION("GOOGLETRANSLATE(B74,""en"",""te"")"),"వెలమ సత్రం, శ్రీశైలం")</f>
        <v>వెలమ సత్రం, శ్రీశైలం</v>
      </c>
      <c r="G74" s="10" t="str">
        <f>IFERROR(__xludf.DUMMYFUNCTION("GOOGLETRANSLATE(B74,""en"",""hi"")"),"वेलमा सतरम, श्रीशैलम")</f>
        <v>वेलमा सतरम, श्रीशैलम</v>
      </c>
      <c r="H74" s="10" t="str">
        <f>IFERROR(__xludf.DUMMYFUNCTION("GOOGLETRANSLATE(B74,""en"",""ta"")"),"வேலம சத்திரம், ஸ்ரீசைலம்")</f>
        <v>வேலம சத்திரம், ஸ்ரீசைலம்</v>
      </c>
      <c r="I74" s="10" t="str">
        <f>IFERROR(__xludf.DUMMYFUNCTION("GOOGLETRANSLATE(B74,""en"",""kn"")"),"ವೇಲಮ ಸತ್ರಂ, ಶ್ರೀಶೈಲಂ")</f>
        <v>ವೇಲಮ ಸತ್ರಂ, ಶ್ರೀಶೈಲಂ</v>
      </c>
      <c r="J74" s="10" t="str">
        <f>IFERROR(__xludf.DUMMYFUNCTION("GOOGLETRANSLATE(B74,""en"",""ml"")"),"വേലാമ സത്രം, ശ്രീശൈലം")</f>
        <v>വേലാമ സത്രം, ശ്രീശൈലം</v>
      </c>
      <c r="K74" s="12" t="s">
        <v>259</v>
      </c>
      <c r="L74" s="10" t="str">
        <f>IFERROR(__xludf.DUMMYFUNCTION("GOOGLETRANSLATE(K74,""en"",""te"")"),"వెలమ కమ్యూనిటీ యాత్రికుల కోసం సత్రం వసతి సౌకర్యాన్ని అందిస్తోంది.")</f>
        <v>వెలమ కమ్యూనిటీ యాత్రికుల కోసం సత్రం వసతి సౌకర్యాన్ని అందిస్తోంది.</v>
      </c>
      <c r="M74" s="10" t="str">
        <f>IFERROR(__xludf.DUMMYFUNCTION("GOOGLETRANSLATE(K74,""en"",""hi"")"),"सतराम वेलामा समुदाय के तीर्थयात्रियों के लिए आवास सहायता की पेशकश कर रहा है।")</f>
        <v>सतराम वेलामा समुदाय के तीर्थयात्रियों के लिए आवास सहायता की पेशकश कर रहा है।</v>
      </c>
      <c r="N74" s="10" t="str">
        <f>IFERROR(__xludf.DUMMYFUNCTION("GOOGLETRANSLATE(K74,""en"",""ta"")"),"சத்ரம் வெலமா சமூக யாத்ரீகர்களுக்கு தங்கும் வசதியை வழங்குகிறது.")</f>
        <v>சத்ரம் வெலமா சமூக யாத்ரீகர்களுக்கு தங்கும் வசதியை வழங்குகிறது.</v>
      </c>
      <c r="O74" s="10" t="str">
        <f>IFERROR(__xludf.DUMMYFUNCTION("GOOGLETRANSLATE(K74,""en"",""kn"")"),"ಸತ್ರಂ ವೇಲಮ ಸಮುದಾಯದ ಯಾತ್ರಾರ್ಥಿಗಳಿಗೆ ವಸತಿ ಸೌಕರ್ಯವನ್ನು ನೀಡುತ್ತಿದೆ.")</f>
        <v>ಸತ್ರಂ ವೇಲಮ ಸಮುದಾಯದ ಯಾತ್ರಾರ್ಥಿಗಳಿಗೆ ವಸತಿ ಸೌಕರ್ಯವನ್ನು ನೀಡುತ್ತಿದೆ.</v>
      </c>
      <c r="P74" s="10" t="str">
        <f>IFERROR(__xludf.DUMMYFUNCTION("GOOGLETRANSLATE(K74,""en"",""ml"")"),"വേലമ കമ്മ്യൂണിറ്റി തീർത്ഥാടകർക്ക് സത്രം താമസ സൗകര്യം വാഗ്ദാനം ചെയ്യുന്നു.")</f>
        <v>വേലമ കമ്മ്യൂണിറ്റി തീർത്ഥാടകർക്ക് സത്രം താമസ സൗകര്യം വാഗ്ദാനം ചെയ്യുന്നു.</v>
      </c>
    </row>
    <row r="75">
      <c r="A75" s="6">
        <f t="shared" si="1"/>
        <v>74</v>
      </c>
      <c r="B75" s="6" t="s">
        <v>260</v>
      </c>
      <c r="C75" s="6">
        <v>16.0721494</v>
      </c>
      <c r="D75" s="6">
        <v>78.8749251</v>
      </c>
      <c r="E75" s="5" t="s">
        <v>178</v>
      </c>
      <c r="F75" s="11" t="str">
        <f>IFERROR(__xludf.DUMMYFUNCTION("GOOGLETRANSLATE(B75,""en"",""te"")"),"రెడ్డి సత్రం")</f>
        <v>రెడ్డి సత్రం</v>
      </c>
      <c r="G75" s="10" t="str">
        <f>IFERROR(__xludf.DUMMYFUNCTION("GOOGLETRANSLATE(B75,""en"",""hi"")"),"रेड्डी सतराम")</f>
        <v>रेड्डी सतराम</v>
      </c>
      <c r="H75" s="10" t="str">
        <f>IFERROR(__xludf.DUMMYFUNCTION("GOOGLETRANSLATE(B75,""en"",""ta"")"),"ரெட்டி சத்ரம்")</f>
        <v>ரெட்டி சத்ரம்</v>
      </c>
      <c r="I75" s="10" t="str">
        <f>IFERROR(__xludf.DUMMYFUNCTION("GOOGLETRANSLATE(B75,""en"",""kn"")"),"ರೆಡ್ಡಿ ಸತ್ರಂ")</f>
        <v>ರೆಡ್ಡಿ ಸತ್ರಂ</v>
      </c>
      <c r="J75" s="10" t="str">
        <f>IFERROR(__xludf.DUMMYFUNCTION("GOOGLETRANSLATE(B75,""en"",""ml"")"),"റെഡ്ഡി സത്രം")</f>
        <v>റെഡ്ഡി സത്രം</v>
      </c>
      <c r="K75" s="12" t="s">
        <v>261</v>
      </c>
      <c r="L75" s="10" t="str">
        <f>IFERROR(__xludf.DUMMYFUNCTION("GOOGLETRANSLATE(K75,""en"",""te"")"),"యాత్రికులకు బస సౌకర్యాలను అందించే కమ్యూనిటీ నడిపే సత్రం.")</f>
        <v>యాత్రికులకు బస సౌకర్యాలను అందించే కమ్యూనిటీ నడిపే సత్రం.</v>
      </c>
      <c r="M75" s="10" t="str">
        <f>IFERROR(__xludf.DUMMYFUNCTION("GOOGLETRANSLATE(K75,""en"",""hi"")"),"तीर्थयात्रियों के लिए आवास सुविधा प्रदान करने वाला सामुदायिक रूप से संचालित सत्रम।")</f>
        <v>तीर्थयात्रियों के लिए आवास सुविधा प्रदान करने वाला सामुदायिक रूप से संचालित सत्रम।</v>
      </c>
      <c r="N75" s="10" t="str">
        <f>IFERROR(__xludf.DUMMYFUNCTION("GOOGLETRANSLATE(K75,""en"",""ta"")"),"யாத்ரீகர்களுக்கு தங்குமிட வசதிகளை வழங்கும் சமூகத்தால் நடத்தப்படும் சத்திரம்.")</f>
        <v>யாத்ரீகர்களுக்கு தங்குமிட வசதிகளை வழங்கும் சமூகத்தால் நடத்தப்படும் சத்திரம்.</v>
      </c>
      <c r="O75" s="10" t="str">
        <f>IFERROR(__xludf.DUMMYFUNCTION("GOOGLETRANSLATE(K75,""en"",""kn"")"),"ಸಮುದಾಯ ನಡೆಸುವ ಸತ್ರಂ, ಯಾತ್ರಿಕರಿಗೆ ವಸತಿ ಸೌಲಭ್ಯಗಳನ್ನು ಒದಗಿಸುತ್ತದೆ.")</f>
        <v>ಸಮುದಾಯ ನಡೆಸುವ ಸತ್ರಂ, ಯಾತ್ರಿಕರಿಗೆ ವಸತಿ ಸೌಲಭ್ಯಗಳನ್ನು ಒದಗಿಸುತ್ತದೆ.</v>
      </c>
      <c r="P75" s="10" t="str">
        <f>IFERROR(__xludf.DUMMYFUNCTION("GOOGLETRANSLATE(K75,""en"",""ml"")"),"തീർത്ഥാടകർക്ക് താമസ സൗകര്യങ്ങൾ ഒരുക്കുന്ന സമൂഹം നടത്തുന്ന സത്രം.")</f>
        <v>തീർത്ഥാടകർക്ക് താമസ സൗകര്യങ്ങൾ ഒരുക്കുന്ന സമൂഹം നടത്തുന്ന സത്രം.</v>
      </c>
    </row>
    <row r="76">
      <c r="A76" s="6">
        <f t="shared" si="1"/>
        <v>75</v>
      </c>
      <c r="B76" s="5" t="s">
        <v>262</v>
      </c>
      <c r="C76" s="6">
        <v>16.0762664</v>
      </c>
      <c r="D76" s="6">
        <v>78.8740253</v>
      </c>
      <c r="E76" s="5" t="s">
        <v>178</v>
      </c>
      <c r="F76" s="20" t="s">
        <v>263</v>
      </c>
      <c r="G76" s="8" t="s">
        <v>264</v>
      </c>
      <c r="H76" s="8" t="s">
        <v>265</v>
      </c>
      <c r="I76" s="8" t="s">
        <v>266</v>
      </c>
      <c r="J76" s="8" t="s">
        <v>267</v>
      </c>
      <c r="K76" s="12" t="s">
        <v>268</v>
      </c>
      <c r="L76" s="10" t="str">
        <f>IFERROR(__xludf.DUMMYFUNCTION("GOOGLETRANSLATE(K76,""en"",""te"")"),"యాత్రికుల కోసం ముదిరాజ్ సంఘం నిర్వహించే వసతి గదులు.")</f>
        <v>యాత్రికుల కోసం ముదిరాజ్ సంఘం నిర్వహించే వసతి గదులు.</v>
      </c>
      <c r="M76" s="10" t="str">
        <f>IFERROR(__xludf.DUMMYFUNCTION("GOOGLETRANSLATE(K76,""en"",""hi"")"),"मुदिराज समुदाय द्वारा तीर्थयात्रियों के लिए बनाए गए आवास कक्ष।")</f>
        <v>मुदिराज समुदाय द्वारा तीर्थयात्रियों के लिए बनाए गए आवास कक्ष।</v>
      </c>
      <c r="N76" s="10" t="str">
        <f>IFERROR(__xludf.DUMMYFUNCTION("GOOGLETRANSLATE(K76,""en"",""ta"")"),"முதிராஜ் சமூகத்தினரால் பராமரிக்கப்படும் யாத்ரீகர்களுக்கான தங்குமிட அறைகள்.")</f>
        <v>முதிராஜ் சமூகத்தினரால் பராமரிக்கப்படும் யாத்ரீகர்களுக்கான தங்குமிட அறைகள்.</v>
      </c>
      <c r="O76" s="10" t="str">
        <f>IFERROR(__xludf.DUMMYFUNCTION("GOOGLETRANSLATE(K76,""en"",""kn"")"),"ಮುದಿರಾಜ್ ಸಮುದಾಯವು ಯಾತ್ರಿಕರಿಗೆ ನಿರ್ವಹಿಸುವ ವಸತಿ ಕೊಠಡಿಗಳು.")</f>
        <v>ಮುದಿರಾಜ್ ಸಮುದಾಯವು ಯಾತ್ರಿಕರಿಗೆ ನಿರ್ವಹಿಸುವ ವಸತಿ ಕೊಠಡಿಗಳು.</v>
      </c>
      <c r="P76" s="10" t="str">
        <f>IFERROR(__xludf.DUMMYFUNCTION("GOOGLETRANSLATE(K76,""en"",""ml"")"),"തീർത്ഥാടകർക്കായി മുദിരാജ് സമൂഹം പരിപാലിക്കുന്ന താമസ മുറികൾ.")</f>
        <v>തീർത്ഥാടകർക്കായി മുദിരാജ് സമൂഹം പരിപാലിക്കുന്ന താമസ മുറികൾ.</v>
      </c>
    </row>
    <row r="77">
      <c r="A77" s="6">
        <f t="shared" si="1"/>
        <v>76</v>
      </c>
      <c r="B77" s="6" t="s">
        <v>269</v>
      </c>
      <c r="C77" s="6">
        <v>16.0775532</v>
      </c>
      <c r="D77" s="6">
        <v>78.8753933</v>
      </c>
      <c r="E77" s="5" t="s">
        <v>178</v>
      </c>
      <c r="F77" s="11" t="str">
        <f>IFERROR(__xludf.DUMMYFUNCTION("GOOGLETRANSLATE(B77,""en"",""te"")"),"సాగర లేదా ఉప్పర సత్రం")</f>
        <v>సాగర లేదా ఉప్పర సత్రం</v>
      </c>
      <c r="G77" s="10" t="str">
        <f>IFERROR(__xludf.DUMMYFUNCTION("GOOGLETRANSLATE(B77,""en"",""hi"")"),"सागर या उप्परा सतरम")</f>
        <v>सागर या उप्परा सतरम</v>
      </c>
      <c r="H77" s="10" t="str">
        <f>IFERROR(__xludf.DUMMYFUNCTION("GOOGLETRANSLATE(B77,""en"",""ta"")"),"சாகரா அல்லது உப்பாரா சத்திரம்")</f>
        <v>சாகரா அல்லது உப்பாரா சத்திரம்</v>
      </c>
      <c r="I77" s="10" t="str">
        <f>IFERROR(__xludf.DUMMYFUNCTION("GOOGLETRANSLATE(B77,""en"",""kn"")"),"ಸಾಗರ ಅಥವಾ ಉಪ್ಪಾರ ಸತ್ರಂ")</f>
        <v>ಸಾಗರ ಅಥವಾ ಉಪ್ಪಾರ ಸತ್ರಂ</v>
      </c>
      <c r="J77" s="10" t="str">
        <f>IFERROR(__xludf.DUMMYFUNCTION("GOOGLETRANSLATE(B77,""en"",""ml"")"),"സാഗര ഓർ ഉപ്പാര സത്രം")</f>
        <v>സാഗര ഓർ ഉപ്പാര സത്രം</v>
      </c>
      <c r="K77" s="12" t="s">
        <v>270</v>
      </c>
      <c r="L77" s="10" t="str">
        <f>IFERROR(__xludf.DUMMYFUNCTION("GOOGLETRANSLATE(K77,""en"",""te"")"),"ప్రాథమిక వసతి సౌకర్యాలను అందించే కమ్యూనిటీ నిర్వహణ సత్రం.")</f>
        <v>ప్రాథమిక వసతి సౌకర్యాలను అందించే కమ్యూనిటీ నిర్వహణ సత్రం.</v>
      </c>
      <c r="M77" s="10" t="str">
        <f>IFERROR(__xludf.DUMMYFUNCTION("GOOGLETRANSLATE(K77,""en"",""hi"")"),"समुदाय द्वारा संचालित सत्रम बुनियादी आवास सुविधाएं प्रदान करता है।")</f>
        <v>समुदाय द्वारा संचालित सत्रम बुनियादी आवास सुविधाएं प्रदान करता है।</v>
      </c>
      <c r="N77" s="10" t="str">
        <f>IFERROR(__xludf.DUMMYFUNCTION("GOOGLETRANSLATE(K77,""en"",""ta"")"),"அடிப்படை தங்குமிட வசதிகளை வழங்கும் சமூகத்தால் நிர்வகிக்கப்படும் சத்திரம்.")</f>
        <v>அடிப்படை தங்குமிட வசதிகளை வழங்கும் சமூகத்தால் நிர்வகிக்கப்படும் சத்திரம்.</v>
      </c>
      <c r="O77" s="10" t="str">
        <f>IFERROR(__xludf.DUMMYFUNCTION("GOOGLETRANSLATE(K77,""en"",""kn"")"),"ಸಮುದಾಯ-ನಿರ್ವಹಣೆಯ ಸತ್ರಂ ಮೂಲಭೂತ ವಸತಿ ಸೌಲಭ್ಯಗಳನ್ನು ನೀಡುತ್ತದೆ.")</f>
        <v>ಸಮುದಾಯ-ನಿರ್ವಹಣೆಯ ಸತ್ರಂ ಮೂಲಭೂತ ವಸತಿ ಸೌಲಭ್ಯಗಳನ್ನು ನೀಡುತ್ತದೆ.</v>
      </c>
      <c r="P77" s="10" t="str">
        <f>IFERROR(__xludf.DUMMYFUNCTION("GOOGLETRANSLATE(K77,""en"",""ml"")"),"അടിസ്ഥാന താമസ സൗകര്യങ്ങൾ വാഗ്ദാനം ചെയ്യുന്ന സമൂഹം നിയന്ത്രിക്കുന്ന സത്രം.")</f>
        <v>അടിസ്ഥാന താമസ സൗകര്യങ്ങൾ വാഗ്ദാനം ചെയ്യുന്ന സമൂഹം നിയന്ത്രിക്കുന്ന സത്രം.</v>
      </c>
    </row>
    <row r="78">
      <c r="A78" s="6">
        <f t="shared" si="1"/>
        <v>77</v>
      </c>
      <c r="B78" s="6" t="s">
        <v>271</v>
      </c>
      <c r="C78" s="6">
        <v>16.0693997</v>
      </c>
      <c r="D78" s="6">
        <v>78.8740837</v>
      </c>
      <c r="E78" s="5" t="s">
        <v>178</v>
      </c>
      <c r="F78" s="11" t="str">
        <f>IFERROR(__xludf.DUMMYFUNCTION("GOOGLETRANSLATE(B78,""en"",""te"")"),"అరే కటిక సత్రం")</f>
        <v>అరే కటిక సత్రం</v>
      </c>
      <c r="G78" s="10" t="str">
        <f>IFERROR(__xludf.DUMMYFUNCTION("GOOGLETRANSLATE(B78,""en"",""hi"")"),"आर कटिका सतराम")</f>
        <v>आर कटिका सतराम</v>
      </c>
      <c r="H78" s="10" t="str">
        <f>IFERROR(__xludf.DUMMYFUNCTION("GOOGLETRANSLATE(B78,""en"",""ta"")"),"ஆர் கடிகா சத்ரம்")</f>
        <v>ஆர் கடிகா சத்ரம்</v>
      </c>
      <c r="I78" s="10" t="str">
        <f>IFERROR(__xludf.DUMMYFUNCTION("GOOGLETRANSLATE(B78,""en"",""kn"")"),"ಅರೆ ಕಟಿಕ ಸತ್ರಂ")</f>
        <v>ಅರೆ ಕಟಿಕ ಸತ್ರಂ</v>
      </c>
      <c r="J78" s="10" t="str">
        <f>IFERROR(__xludf.DUMMYFUNCTION("GOOGLETRANSLATE(B78,""en"",""ml"")"),"അരേ കതിക സത്രം")</f>
        <v>അരേ കതിക സത്രം</v>
      </c>
      <c r="K78" s="12" t="s">
        <v>272</v>
      </c>
      <c r="L78" s="10" t="str">
        <f>IFERROR(__xludf.DUMMYFUNCTION("GOOGLETRANSLATE(K78,""en"",""te"")"),"యాత్రికులకు వసతి కల్పించే కటిక సమాజం నడిపే సత్రం.")</f>
        <v>యాత్రికులకు వసతి కల్పించే కటిక సమాజం నడిపే సత్రం.</v>
      </c>
      <c r="M78" s="10" t="str">
        <f>IFERROR(__xludf.DUMMYFUNCTION("GOOGLETRANSLATE(K78,""en"",""hi"")"),"कटिका समुदाय द्वारा संचालित सतराम तीर्थयात्रियों के लिए आवास की सुविधा प्रदान करता है।")</f>
        <v>कटिका समुदाय द्वारा संचालित सतराम तीर्थयात्रियों के लिए आवास की सुविधा प्रदान करता है।</v>
      </c>
      <c r="N78" s="10" t="str">
        <f>IFERROR(__xludf.DUMMYFUNCTION("GOOGLETRANSLATE(K78,""en"",""ta"")"),"கடக சமூகத்தினரால் நடத்தப்படும் சத்ரம், யாத்ரீகர்களுக்கு தங்குமிட வசதியை வழங்குகிறது.")</f>
        <v>கடக சமூகத்தினரால் நடத்தப்படும் சத்ரம், யாத்ரீகர்களுக்கு தங்குமிட வசதியை வழங்குகிறது.</v>
      </c>
      <c r="O78" s="10" t="str">
        <f>IFERROR(__xludf.DUMMYFUNCTION("GOOGLETRANSLATE(K78,""en"",""kn"")"),"ಕಾಟಿಕ ಸಮುದಾಯವು ನಡೆಸುವ ಸತ್ರಂ, ಯಾತ್ರಿಕರಿಗೆ ವಸತಿ ಸೌಕರ್ಯವನ್ನು ಒದಗಿಸುತ್ತದೆ.")</f>
        <v>ಕಾಟಿಕ ಸಮುದಾಯವು ನಡೆಸುವ ಸತ್ರಂ, ಯಾತ್ರಿಕರಿಗೆ ವಸತಿ ಸೌಕರ್ಯವನ್ನು ಒದಗಿಸುತ್ತದೆ.</v>
      </c>
      <c r="P78" s="10" t="str">
        <f>IFERROR(__xludf.DUMMYFUNCTION("GOOGLETRANSLATE(K78,""en"",""ml"")"),"തീർത്ഥാടകർക്ക് താമസ സൗകര്യം ഒരുക്കുന്ന കതിക സമൂഹം നടത്തുന്ന സത്രം.")</f>
        <v>തീർത്ഥാടകർക്ക് താമസ സൗകര്യം ഒരുക്കുന്ന കതിക സമൂഹം നടത്തുന്ന സത്രം.</v>
      </c>
    </row>
    <row r="79">
      <c r="A79" s="6">
        <f t="shared" si="1"/>
        <v>78</v>
      </c>
      <c r="B79" s="6" t="s">
        <v>273</v>
      </c>
      <c r="C79" s="6">
        <v>16.0735615</v>
      </c>
      <c r="D79" s="6">
        <v>78.871538</v>
      </c>
      <c r="E79" s="5" t="s">
        <v>178</v>
      </c>
      <c r="F79" s="11" t="str">
        <f>IFERROR(__xludf.DUMMYFUNCTION("GOOGLETRANSLATE(B79,""en"",""te"")"),"అఖిల భారత ఆర్య వైశ్య అన్నపూర్ణ సత్రం")</f>
        <v>అఖిల భారత ఆర్య వైశ్య అన్నపూర్ణ సత్రం</v>
      </c>
      <c r="G79" s="10" t="str">
        <f>IFERROR(__xludf.DUMMYFUNCTION("GOOGLETRANSLATE(B79,""en"",""hi"")"),"अखिला भारत आर्य वैश्य अन्नपूर्णा सत्रम्")</f>
        <v>अखिला भारत आर्य वैश्य अन्नपूर्णा सत्रम्</v>
      </c>
      <c r="H79" s="10" t="str">
        <f>IFERROR(__xludf.DUMMYFUNCTION("GOOGLETRANSLATE(B79,""en"",""ta"")"),"அகில பாரத ஆர்ய வைஸ்ய அன்னபூர்ணா சாத்திரம்")</f>
        <v>அகில பாரத ஆர்ய வைஸ்ய அன்னபூர்ணா சாத்திரம்</v>
      </c>
      <c r="I79" s="10" t="str">
        <f>IFERROR(__xludf.DUMMYFUNCTION("GOOGLETRANSLATE(B79,""en"",""kn"")"),"ಅಖಿಲ ಭಾರತ ಆರ್ಯ ವೈಶ್ಯ ಅನ್ನಪೂರ್ಣ ಸತ್ರಮ್")</f>
        <v>ಅಖಿಲ ಭಾರತ ಆರ್ಯ ವೈಶ್ಯ ಅನ್ನಪೂರ್ಣ ಸತ್ರಮ್</v>
      </c>
      <c r="J79" s="10" t="str">
        <f>IFERROR(__xludf.DUMMYFUNCTION("GOOGLETRANSLATE(B79,""en"",""ml"")"),"അഖില ഭാരത ആര്യ വൈശ്യ അന്നപൂർണ സത്രം")</f>
        <v>അഖില ഭാരത ആര്യ വൈശ്യ അന്നപൂർണ സത്രം</v>
      </c>
      <c r="K79" s="12" t="s">
        <v>274</v>
      </c>
      <c r="L79" s="10" t="str">
        <f>IFERROR(__xludf.DUMMYFUNCTION("GOOGLETRANSLATE(K79,""en"",""te"")"),"యాత్రికులకు ఉచిత భోజనం మరియు వసతి అందించే ధార్మిక సత్రం.")</f>
        <v>యాత్రికులకు ఉచిత భోజనం మరియు వసతి అందించే ధార్మిక సత్రం.</v>
      </c>
      <c r="M79" s="10" t="str">
        <f>IFERROR(__xludf.DUMMYFUNCTION("GOOGLETRANSLATE(K79,""en"",""hi"")"),"तीर्थयात्रियों को मुफ्त भोजन और आवास प्रदान करने वाला धर्मार्थ केंद्र।")</f>
        <v>तीर्थयात्रियों को मुफ्त भोजन और आवास प्रदान करने वाला धर्मार्थ केंद्र।</v>
      </c>
      <c r="N79" s="10" t="str">
        <f>IFERROR(__xludf.DUMMYFUNCTION("GOOGLETRANSLATE(K79,""en"",""ta"")"),"யாத்ரீகர்களுக்கு இலவச உணவு மற்றும் தங்குமிட வசதிகளை வழங்கும் தொண்டு சத்திரம்.")</f>
        <v>யாத்ரீகர்களுக்கு இலவச உணவு மற்றும் தங்குமிட வசதிகளை வழங்கும் தொண்டு சத்திரம்.</v>
      </c>
      <c r="O79" s="10" t="str">
        <f>IFERROR(__xludf.DUMMYFUNCTION("GOOGLETRANSLATE(K79,""en"",""kn"")"),"ಯಾತ್ರಿಕರಿಗೆ ಉಚಿತ ಊಟ ಮತ್ತು ವಸತಿಯನ್ನು ನೀಡುವ ದತ್ತಿ ಸತ್ರಂ.")</f>
        <v>ಯಾತ್ರಿಕರಿಗೆ ಉಚಿತ ಊಟ ಮತ್ತು ವಸತಿಯನ್ನು ನೀಡುವ ದತ್ತಿ ಸತ್ರಂ.</v>
      </c>
      <c r="P79" s="10" t="str">
        <f>IFERROR(__xludf.DUMMYFUNCTION("GOOGLETRANSLATE(K79,""en"",""ml"")"),"തീർത്ഥാടകർക്ക് സൗജന്യ ഭക്ഷണവും താമസവും വാഗ്ദാനം ചെയ്യുന്ന ചാരിറ്റബിൾ സത്രം.")</f>
        <v>തീർത്ഥാടകർക്ക് സൗജന്യ ഭക്ഷണവും താമസവും വാഗ്ദാനം ചെയ്യുന്ന ചാരിറ്റബിൾ സത്രം.</v>
      </c>
    </row>
    <row r="80">
      <c r="A80" s="6">
        <f t="shared" si="1"/>
        <v>79</v>
      </c>
      <c r="B80" s="6" t="s">
        <v>275</v>
      </c>
      <c r="C80" s="6">
        <v>16.0741573</v>
      </c>
      <c r="D80" s="6">
        <v>78.8720633</v>
      </c>
      <c r="E80" s="5" t="s">
        <v>178</v>
      </c>
      <c r="F80" s="20" t="s">
        <v>276</v>
      </c>
      <c r="G80" s="10" t="str">
        <f>IFERROR(__xludf.DUMMYFUNCTION("GOOGLETRANSLATE(B80,""en"",""hi"")"),"श्री शरण बसवेश्वर सदाशिवः अन्न सत्रम्")</f>
        <v>श्री शरण बसवेश्वर सदाशिवः अन्न सत्रम्</v>
      </c>
      <c r="H80" s="8" t="s">
        <v>277</v>
      </c>
      <c r="I80" s="8" t="s">
        <v>278</v>
      </c>
      <c r="J80" s="8" t="s">
        <v>279</v>
      </c>
      <c r="K80" s="12" t="s">
        <v>280</v>
      </c>
      <c r="L80" s="10" t="str">
        <f>IFERROR(__xludf.DUMMYFUNCTION("GOOGLETRANSLATE(K80,""en"",""te"")"),"ధార్మిక సత్రం అన్నదానం మరియు యాత్రికుల మద్దతుపై దృష్టి సారించింది.")</f>
        <v>ధార్మిక సత్రం అన్నదానం మరియు యాత్రికుల మద్దతుపై దృష్టి సారించింది.</v>
      </c>
      <c r="M80" s="10" t="str">
        <f>IFERROR(__xludf.DUMMYFUNCTION("GOOGLETRANSLATE(K80,""en"",""hi"")"),"धर्मार्थ सत्रम ने अन्नदानम और तीर्थयात्री सहायता पर ध्यान केंद्रित किया।")</f>
        <v>धर्मार्थ सत्रम ने अन्नदानम और तीर्थयात्री सहायता पर ध्यान केंद्रित किया।</v>
      </c>
      <c r="N80" s="10" t="str">
        <f>IFERROR(__xludf.DUMMYFUNCTION("GOOGLETRANSLATE(K80,""en"",""ta"")"),"அன்னதானம் மற்றும் யாத்ரீகர் ஆதரவில் தொண்டு சத்திரம் கவனம் செலுத்தியது.")</f>
        <v>அன்னதானம் மற்றும் யாத்ரீகர் ஆதரவில் தொண்டு சத்திரம் கவனம் செலுத்தியது.</v>
      </c>
      <c r="O80" s="10" t="str">
        <f>IFERROR(__xludf.DUMMYFUNCTION("GOOGLETRANSLATE(K80,""en"",""kn"")"),"ಚಾರಿಟಬಲ್ ಸತ್ರಂ ಅನ್ನದಾನ ಮತ್ತು ಯಾತ್ರಿಕರ ಬೆಂಬಲದ ಮೇಲೆ ಕೇಂದ್ರೀಕರಿಸಿದೆ.")</f>
        <v>ಚಾರಿಟಬಲ್ ಸತ್ರಂ ಅನ್ನದಾನ ಮತ್ತು ಯಾತ್ರಿಕರ ಬೆಂಬಲದ ಮೇಲೆ ಕೇಂದ್ರೀಕರಿಸಿದೆ.</v>
      </c>
      <c r="P80" s="10" t="str">
        <f>IFERROR(__xludf.DUMMYFUNCTION("GOOGLETRANSLATE(K80,""en"",""ml"")"),"ചാരിറ്റബിൾ സത്രം അന്നദാനത്തിലും തീർഥാടക പിന്തുണയിലും ശ്രദ്ധ കേന്ദ്രീകരിച്ചു.")</f>
        <v>ചാരിറ്റബിൾ സത്രം അന്നദാനത്തിലും തീർഥാടക പിന്തുണയിലും ശ്രദ്ധ കേന്ദ്രീകരിച്ചു.</v>
      </c>
    </row>
    <row r="81">
      <c r="A81" s="6">
        <f t="shared" si="1"/>
        <v>80</v>
      </c>
      <c r="B81" s="5" t="s">
        <v>281</v>
      </c>
      <c r="C81" s="6">
        <v>16.0695648</v>
      </c>
      <c r="D81" s="6">
        <v>78.8724861</v>
      </c>
      <c r="E81" s="5" t="s">
        <v>178</v>
      </c>
      <c r="F81" s="11" t="str">
        <f>IFERROR(__xludf.DUMMYFUNCTION("GOOGLETRANSLATE(B81,""en"",""te"")"),"శ్రీ చౌడేశ్వరి అన్నదాన సత్రం, శ్రీశైలం")</f>
        <v>శ్రీ చౌడేశ్వరి అన్నదాన సత్రం, శ్రీశైలం</v>
      </c>
      <c r="G81" s="10" t="str">
        <f>IFERROR(__xludf.DUMMYFUNCTION("GOOGLETRANSLATE(B81,""en"",""hi"")"),"श्री चौदेश्वरी अन्नदान सत्रम, श्रीशैलम")</f>
        <v>श्री चौदेश्वरी अन्नदान सत्रम, श्रीशैलम</v>
      </c>
      <c r="H81" s="10" t="str">
        <f>IFERROR(__xludf.DUMMYFUNCTION("GOOGLETRANSLATE(B81,""en"",""ta"")"),"ஸ்ரீ சௌடேஸ்வரி அன்னதான சத்திரம், ஸ்ரீசைலம்")</f>
        <v>ஸ்ரீ சௌடேஸ்வரி அன்னதான சத்திரம், ஸ்ரீசைலம்</v>
      </c>
      <c r="I81" s="10" t="str">
        <f>IFERROR(__xludf.DUMMYFUNCTION("GOOGLETRANSLATE(B81,""en"",""kn"")"),"ಶ್ರೀ ಚೌಡೇಶ್ವರಿ ಅನ್ನದಾನ ಸತ್ರಂ, ಶ್ರೀಶೈಲಂ")</f>
        <v>ಶ್ರೀ ಚೌಡೇಶ್ವರಿ ಅನ್ನದಾನ ಸತ್ರಂ, ಶ್ರೀಶೈಲಂ</v>
      </c>
      <c r="J81" s="10" t="str">
        <f>IFERROR(__xludf.DUMMYFUNCTION("GOOGLETRANSLATE(B81,""en"",""ml"")"),"ശ്രീ ചൗഡേശ്വരി അന്നദാന സത്രം, ശ്രീശൈലം")</f>
        <v>ശ്രീ ചൗഡേശ്വരി അന്നദാന സത്രം, ശ്രീശൈലം</v>
      </c>
      <c r="K81" s="12" t="s">
        <v>282</v>
      </c>
      <c r="L81" s="10" t="str">
        <f>IFERROR(__xludf.DUMMYFUNCTION("GOOGLETRANSLATE(K81,""en"",""te"")"),"సత్రం యాత్రికులకు ఉచిత ఆహారం మరియు సేవలను అందిస్తుంది.")</f>
        <v>సత్రం యాత్రికులకు ఉచిత ఆహారం మరియు సేవలను అందిస్తుంది.</v>
      </c>
      <c r="M81" s="10" t="str">
        <f>IFERROR(__xludf.DUMMYFUNCTION("GOOGLETRANSLATE(K81,""en"",""hi"")"),"सतराम तीर्थयात्रियों के लिए मुफ्त भोजन और सेवाएं प्रदान कर रहा है।")</f>
        <v>सतराम तीर्थयात्रियों के लिए मुफ्त भोजन और सेवाएं प्रदान कर रहा है।</v>
      </c>
      <c r="N81" s="10" t="str">
        <f>IFERROR(__xludf.DUMMYFUNCTION("GOOGLETRANSLATE(K81,""en"",""ta"")"),"சத்ரம் யாத்ரீகர்களுக்கு இலவச உணவு மற்றும் சேவைகளை வழங்குகிறது.")</f>
        <v>சத்ரம் யாத்ரீகர்களுக்கு இலவச உணவு மற்றும் சேவைகளை வழங்குகிறது.</v>
      </c>
      <c r="O81" s="10" t="str">
        <f>IFERROR(__xludf.DUMMYFUNCTION("GOOGLETRANSLATE(K81,""en"",""kn"")"),"ಸತ್ರಂ ಯಾತ್ರಿಕರಿಗೆ ಉಚಿತ ಆಹಾರ ಮತ್ತು ಸೇವೆಗಳನ್ನು ಒದಗಿಸುತ್ತದೆ.")</f>
        <v>ಸತ್ರಂ ಯಾತ್ರಿಕರಿಗೆ ಉಚಿತ ಆಹಾರ ಮತ್ತು ಸೇವೆಗಳನ್ನು ಒದಗಿಸುತ್ತದೆ.</v>
      </c>
      <c r="P81" s="10" t="str">
        <f>IFERROR(__xludf.DUMMYFUNCTION("GOOGLETRANSLATE(K81,""en"",""ml"")"),"തീർത്ഥാടകർക്ക് സൗജന്യ ഭക്ഷണവും സേവനങ്ങളും നൽകുന്ന സത്രം.")</f>
        <v>തീർത്ഥാടകർക്ക് സൗജന്യ ഭക്ഷണവും സേവനങ്ങളും നൽകുന്ന സത്രം.</v>
      </c>
    </row>
    <row r="82">
      <c r="A82" s="6">
        <f t="shared" si="1"/>
        <v>81</v>
      </c>
      <c r="B82" s="6" t="s">
        <v>283</v>
      </c>
      <c r="C82" s="6">
        <v>16.0732906</v>
      </c>
      <c r="D82" s="6">
        <v>78.8743137</v>
      </c>
      <c r="E82" s="5" t="s">
        <v>178</v>
      </c>
      <c r="F82" s="11" t="str">
        <f>IFERROR(__xludf.DUMMYFUNCTION("GOOGLETRANSLATE(B82,""en"",""te"")"),"పద్మశాలి సత్రం")</f>
        <v>పద్మశాలి సత్రం</v>
      </c>
      <c r="G82" s="10" t="str">
        <f>IFERROR(__xludf.DUMMYFUNCTION("GOOGLETRANSLATE(B82,""en"",""hi"")"),"पद्मशाली सतरम")</f>
        <v>पद्मशाली सतरम</v>
      </c>
      <c r="H82" s="10" t="str">
        <f>IFERROR(__xludf.DUMMYFUNCTION("GOOGLETRANSLATE(B82,""en"",""ta"")"),"பத்மஷாலி சத்திரம்")</f>
        <v>பத்மஷாலி சத்திரம்</v>
      </c>
      <c r="I82" s="10" t="str">
        <f>IFERROR(__xludf.DUMMYFUNCTION("GOOGLETRANSLATE(B82,""en"",""kn"")"),"ಪದ್ಮಶಾಲಿ ಸತ್ರಂ")</f>
        <v>ಪದ್ಮಶಾಲಿ ಸತ್ರಂ</v>
      </c>
      <c r="J82" s="10" t="str">
        <f>IFERROR(__xludf.DUMMYFUNCTION("GOOGLETRANSLATE(B82,""en"",""ml"")"),"പദ്മശാലി സത്രം")</f>
        <v>പദ്മശാലി സത്രം</v>
      </c>
      <c r="K82" s="12" t="s">
        <v>284</v>
      </c>
      <c r="L82" s="10" t="str">
        <f>IFERROR(__xludf.DUMMYFUNCTION("GOOGLETRANSLATE(K82,""en"",""te"")"),"పద్మశాలి భక్తులకు వసతి కల్పిస్తున్న సంఘం ఆధ్వర్యంలో నడిచే సత్రం.")</f>
        <v>పద్మశాలి భక్తులకు వసతి కల్పిస్తున్న సంఘం ఆధ్వర్యంలో నడిచే సత్రం.</v>
      </c>
      <c r="M82" s="10" t="str">
        <f>IFERROR(__xludf.DUMMYFUNCTION("GOOGLETRANSLATE(K82,""en"",""hi"")"),"समुदाय द्वारा संचालित सत्रम पद्मशाली भक्तों के लिए आवास प्रदान करता है।")</f>
        <v>समुदाय द्वारा संचालित सत्रम पद्मशाली भक्तों के लिए आवास प्रदान करता है।</v>
      </c>
      <c r="N82" s="10" t="str">
        <f>IFERROR(__xludf.DUMMYFUNCTION("GOOGLETRANSLATE(K82,""en"",""ta"")"),"பத்மஷாலி பக்தர்களுக்கு சமூகத்தால் நடத்தப்படும் சத்திரம் தங்குமிடத்தை வழங்குகிறது.")</f>
        <v>பத்மஷாலி பக்தர்களுக்கு சமூகத்தால் நடத்தப்படும் சத்திரம் தங்குமிடத்தை வழங்குகிறது.</v>
      </c>
      <c r="O82" s="10" t="str">
        <f>IFERROR(__xludf.DUMMYFUNCTION("GOOGLETRANSLATE(K82,""en"",""kn"")"),"ಪದ್ಮಶಾಲಿ ಭಕ್ತರಿಗೆ ವಸತಿಯನ್ನು ಒದಗಿಸುವ ಸಮುದಾಯ ನಡೆಸುವ ಸತ್ರಂ.")</f>
        <v>ಪದ್ಮಶಾಲಿ ಭಕ್ತರಿಗೆ ವಸತಿಯನ್ನು ಒದಗಿಸುವ ಸಮುದಾಯ ನಡೆಸುವ ಸತ್ರಂ.</v>
      </c>
      <c r="P82" s="10" t="str">
        <f>IFERROR(__xludf.DUMMYFUNCTION("GOOGLETRANSLATE(K82,""en"",""ml"")"),"പത്മശാലി ഭക്തർക്ക് താമസ സൗകര്യമൊരുക്കുന്ന സമൂഹം നടത്തുന്ന സത്രം.")</f>
        <v>പത്മശാലി ഭക്തർക്ക് താമസ സൗകര്യമൊരുക്കുന്ന സമൂഹം നടത്തുന്ന സത്രം.</v>
      </c>
    </row>
    <row r="83">
      <c r="A83" s="6">
        <f t="shared" si="1"/>
        <v>82</v>
      </c>
      <c r="B83" s="6" t="s">
        <v>285</v>
      </c>
      <c r="C83" s="6">
        <v>16.0732024</v>
      </c>
      <c r="D83" s="6">
        <v>78.8750013</v>
      </c>
      <c r="E83" s="5" t="s">
        <v>178</v>
      </c>
      <c r="F83" s="11" t="str">
        <f>IFERROR(__xludf.DUMMYFUNCTION("GOOGLETRANSLATE(B83,""en"",""te"")"),"కౌండిన్య గౌడ సత్రం")</f>
        <v>కౌండిన్య గౌడ సత్రం</v>
      </c>
      <c r="G83" s="10" t="str">
        <f>IFERROR(__xludf.DUMMYFUNCTION("GOOGLETRANSLATE(B83,""en"",""hi"")"),"कौंडिन्य गौड़ा सतराम")</f>
        <v>कौंडिन्य गौड़ा सतराम</v>
      </c>
      <c r="H83" s="10" t="str">
        <f>IFERROR(__xludf.DUMMYFUNCTION("GOOGLETRANSLATE(B83,""en"",""ta"")"),"கவுண்டின்ய கவுடா சத்திரம்")</f>
        <v>கவுண்டின்ய கவுடா சத்திரம்</v>
      </c>
      <c r="I83" s="10" t="str">
        <f>IFERROR(__xludf.DUMMYFUNCTION("GOOGLETRANSLATE(B83,""en"",""kn"")"),"ಕೌಂಡಿನ್ಯ ಗೌಡ ಸತ್ರಂ")</f>
        <v>ಕೌಂಡಿನ್ಯ ಗೌಡ ಸತ್ರಂ</v>
      </c>
      <c r="J83" s="10" t="str">
        <f>IFERROR(__xludf.DUMMYFUNCTION("GOOGLETRANSLATE(B83,""en"",""ml"")"),"കൗണ്ടിന്യ ഗൗഡ സത്രം")</f>
        <v>കൗണ്ടിന്യ ഗൗഡ സത്രം</v>
      </c>
      <c r="K83" s="12" t="s">
        <v>286</v>
      </c>
      <c r="L83" s="10" t="str">
        <f>IFERROR(__xludf.DUMMYFUNCTION("GOOGLETRANSLATE(K83,""en"",""te"")"),"గౌడ సమాజం నిర్వహించే సత్రం యాత్రికులకు వసతి సౌకర్యం కల్పిస్తుంది.")</f>
        <v>గౌడ సమాజం నిర్వహించే సత్రం యాత్రికులకు వసతి సౌకర్యం కల్పిస్తుంది.</v>
      </c>
      <c r="M83" s="10" t="str">
        <f>IFERROR(__xludf.DUMMYFUNCTION("GOOGLETRANSLATE(K83,""en"",""hi"")"),"गौड़ा समुदाय द्वारा संचालित सतराम तीर्थयात्रियों के लिए आवास प्रदान करता है।")</f>
        <v>गौड़ा समुदाय द्वारा संचालित सतराम तीर्थयात्रियों के लिए आवास प्रदान करता है।</v>
      </c>
      <c r="N83" s="10" t="str">
        <f>IFERROR(__xludf.DUMMYFUNCTION("GOOGLETRANSLATE(K83,""en"",""ta"")"),"கவுடா சமூகத்தினரால் நிர்வகிக்கப்படும் சத்ரம், யாத்ரீகர்களுக்கு தங்குமிட வசதியை வழங்குகிறது.")</f>
        <v>கவுடா சமூகத்தினரால் நிர்வகிக்கப்படும் சத்ரம், யாத்ரீகர்களுக்கு தங்குமிட வசதியை வழங்குகிறது.</v>
      </c>
      <c r="O83" s="10" t="str">
        <f>IFERROR(__xludf.DUMMYFUNCTION("GOOGLETRANSLATE(K83,""en"",""kn"")"),"ಗೌಡ ಸಮುದಾಯವು ನಿರ್ವಹಿಸುವ ಸತ್ರಂ, ಯಾತ್ರಿಕರಿಗೆ ವಸತಿ ಸೌಲಭ್ಯವನ್ನು ನೀಡುತ್ತದೆ.")</f>
        <v>ಗೌಡ ಸಮುದಾಯವು ನಿರ್ವಹಿಸುವ ಸತ್ರಂ, ಯಾತ್ರಿಕರಿಗೆ ವಸತಿ ಸೌಲಭ್ಯವನ್ನು ನೀಡುತ್ತದೆ.</v>
      </c>
      <c r="P83" s="10" t="str">
        <f>IFERROR(__xludf.DUMMYFUNCTION("GOOGLETRANSLATE(K83,""en"",""ml"")"),"ഗൗഡ സമൂഹം നടത്തുന്ന സത്രം തീർത്ഥാടകർക്ക് താമസ സൗകര്യം ഒരുക്കുന്നു.")</f>
        <v>ഗൗഡ സമൂഹം നടത്തുന്ന സത്രം തീർത്ഥാടകർക്ക് താമസ സൗകര്യം ഒരുക്കുന്നു.</v>
      </c>
    </row>
    <row r="84">
      <c r="A84" s="6">
        <f t="shared" si="1"/>
        <v>83</v>
      </c>
      <c r="B84" s="6" t="s">
        <v>287</v>
      </c>
      <c r="C84" s="6">
        <v>16.0729056</v>
      </c>
      <c r="D84" s="6">
        <v>78.8750083</v>
      </c>
      <c r="E84" s="5" t="s">
        <v>178</v>
      </c>
      <c r="F84" s="11" t="str">
        <f>IFERROR(__xludf.DUMMYFUNCTION("GOOGLETRANSLATE(B84,""en"",""te"")"),"కాకతీయ అన్న సత్రం సంగమం")</f>
        <v>కాకతీయ అన్న సత్రం సంగమం</v>
      </c>
      <c r="G84" s="10" t="str">
        <f>IFERROR(__xludf.DUMMYFUNCTION("GOOGLETRANSLATE(B84,""en"",""hi"")"),"काकतीय अन्न सत्र संगम")</f>
        <v>काकतीय अन्न सत्र संगम</v>
      </c>
      <c r="H84" s="10" t="str">
        <f>IFERROR(__xludf.DUMMYFUNCTION("GOOGLETRANSLATE(B84,""en"",""ta"")"),"காகதீய அண்ணா சத்ர சங்கம்")</f>
        <v>காகதீய அண்ணா சத்ர சங்கம்</v>
      </c>
      <c r="I84" s="10" t="str">
        <f>IFERROR(__xludf.DUMMYFUNCTION("GOOGLETRANSLATE(B84,""en"",""kn"")"),"ಕಾಕತೀಯ ಅನ್ನಸತ್ರ ಸಂಗಮ")</f>
        <v>ಕಾಕತೀಯ ಅನ್ನಸತ್ರ ಸಂಗಮ</v>
      </c>
      <c r="J84" s="10" t="str">
        <f>IFERROR(__xludf.DUMMYFUNCTION("GOOGLETRANSLATE(B84,""en"",""ml"")"),"കാകതീയ അന്ന സത്ര സംഘം")</f>
        <v>കാകതീയ അന്ന സത്ര സംഘം</v>
      </c>
      <c r="K84" s="12" t="s">
        <v>288</v>
      </c>
      <c r="L84" s="10" t="str">
        <f>IFERROR(__xludf.DUMMYFUNCTION("GOOGLETRANSLATE(K84,""en"",""te"")"),"అన్నదానం మరియు ప్రాథమిక యాత్రికుల సౌకర్యాలను అందించే సంస్థ.")</f>
        <v>అన్నదానం మరియు ప్రాథమిక యాత్రికుల సౌకర్యాలను అందించే సంస్థ.</v>
      </c>
      <c r="M84" s="10" t="str">
        <f>IFERROR(__xludf.DUMMYFUNCTION("GOOGLETRANSLATE(K84,""en"",""hi"")"),"अन्नदान और तीर्थयात्रियों के लिए बुनियादी सुविधाएं प्रदान करने वाला संगठन।")</f>
        <v>अन्नदान और तीर्थयात्रियों के लिए बुनियादी सुविधाएं प्रदान करने वाला संगठन।</v>
      </c>
      <c r="N84" s="10" t="str">
        <f>IFERROR(__xludf.DUMMYFUNCTION("GOOGLETRANSLATE(K84,""en"",""ta"")"),"அன்னதானம் மற்றும் அடிப்படை யாத்ரீக வசதிகளை வழங்கும் அமைப்பு.")</f>
        <v>அன்னதானம் மற்றும் அடிப்படை யாத்ரீக வசதிகளை வழங்கும் அமைப்பு.</v>
      </c>
      <c r="O84" s="10" t="str">
        <f>IFERROR(__xludf.DUMMYFUNCTION("GOOGLETRANSLATE(K84,""en"",""kn"")"),"ಅನ್ನದಾನ ಮತ್ತು ಯಾತ್ರಿಕರಿಗೆ ಮೂಲಭೂತ ಸೌಲಭ್ಯಗಳನ್ನು ಒದಗಿಸುವ ಸಂಸ್ಥೆ.")</f>
        <v>ಅನ್ನದಾನ ಮತ್ತು ಯಾತ್ರಿಕರಿಗೆ ಮೂಲಭೂತ ಸೌಲಭ್ಯಗಳನ್ನು ಒದಗಿಸುವ ಸಂಸ್ಥೆ.</v>
      </c>
      <c r="P84" s="10" t="str">
        <f>IFERROR(__xludf.DUMMYFUNCTION("GOOGLETRANSLATE(K84,""en"",""ml"")"),"അന്നദാനവും തീർത്ഥാടകർക്ക് അടിസ്ഥാന സൗകര്യങ്ങളും നൽകുന്ന സ്ഥാപനം.")</f>
        <v>അന്നദാനവും തീർത്ഥാടകർക്ക് അടിസ്ഥാന സൗകര്യങ്ങളും നൽകുന്ന സ്ഥാപനം.</v>
      </c>
    </row>
    <row r="85">
      <c r="A85" s="6">
        <f t="shared" si="1"/>
        <v>84</v>
      </c>
      <c r="B85" s="6" t="s">
        <v>289</v>
      </c>
      <c r="C85" s="6">
        <v>16.0723635</v>
      </c>
      <c r="D85" s="6">
        <v>78.8761001</v>
      </c>
      <c r="E85" s="5" t="s">
        <v>178</v>
      </c>
      <c r="F85" s="11" t="str">
        <f>IFERROR(__xludf.DUMMYFUNCTION("GOOGLETRANSLATE(B85,""en"",""te"")"),"నీలం సంజీవ రెడ్డి భవన్")</f>
        <v>నీలం సంజీవ రెడ్డి భవన్</v>
      </c>
      <c r="G85" s="10" t="str">
        <f>IFERROR(__xludf.DUMMYFUNCTION("GOOGLETRANSLATE(B85,""en"",""hi"")"),"नीलम संजीव रेड्डी भवन")</f>
        <v>नीलम संजीव रेड्डी भवन</v>
      </c>
      <c r="H85" s="10" t="str">
        <f>IFERROR(__xludf.DUMMYFUNCTION("GOOGLETRANSLATE(B85,""en"",""ta"")"),"நீலம் சஞ்சீவ ரெட்டி பவன்")</f>
        <v>நீலம் சஞ்சீவ ரெட்டி பவன்</v>
      </c>
      <c r="I85" s="10" t="str">
        <f>IFERROR(__xludf.DUMMYFUNCTION("GOOGLETRANSLATE(B85,""en"",""kn"")"),"ನೀಲಂ ಸಂಜೀವ ರೆಡ್ಡಿ ಭವನ")</f>
        <v>ನೀಲಂ ಸಂಜೀವ ರೆಡ್ಡಿ ಭವನ</v>
      </c>
      <c r="J85" s="10" t="str">
        <f>IFERROR(__xludf.DUMMYFUNCTION("GOOGLETRANSLATE(B85,""en"",""ml"")"),"നീലം സഞ്ജീവ റെഡ്ഡി ഭവൻ")</f>
        <v>നീലം സഞ്ജീവ റെഡ്ഡി ഭവൻ</v>
      </c>
      <c r="K85" s="12" t="s">
        <v>290</v>
      </c>
      <c r="L85" s="10" t="str">
        <f>IFERROR(__xludf.DUMMYFUNCTION("GOOGLETRANSLATE(K85,""en"",""te"")"),"నీలం సంజీవ రెడ్డి పేరు మీద యాత్రికుల వసతి సౌకర్యం.")</f>
        <v>నీలం సంజీవ రెడ్డి పేరు మీద యాత్రికుల వసతి సౌకర్యం.</v>
      </c>
      <c r="M85" s="10" t="str">
        <f>IFERROR(__xludf.DUMMYFUNCTION("GOOGLETRANSLATE(K85,""en"",""hi"")"),"नीलम संजीव रेड्डी के नाम पर तीर्थयात्री आवास सुविधा का नाम रखा गया है।")</f>
        <v>नीलम संजीव रेड्डी के नाम पर तीर्थयात्री आवास सुविधा का नाम रखा गया है।</v>
      </c>
      <c r="N85" s="10" t="str">
        <f>IFERROR(__xludf.DUMMYFUNCTION("GOOGLETRANSLATE(K85,""en"",""ta"")"),"நீலம் சஞ்சீவ ரெட்டியின் பெயரிடப்பட்ட யாத்ரீகர் தங்குமிட வசதி.")</f>
        <v>நீலம் சஞ்சீவ ரெட்டியின் பெயரிடப்பட்ட யாத்ரீகர் தங்குமிட வசதி.</v>
      </c>
      <c r="O85" s="10" t="str">
        <f>IFERROR(__xludf.DUMMYFUNCTION("GOOGLETRANSLATE(K85,""en"",""kn"")"),"ನೀಲಂ ಸಂಜೀವ ರೆಡ್ಡಿ ಅವರ ಹೆಸರಿನ ಯಾತ್ರಿಕರ ವಸತಿ ಸೌಲಭ್ಯ.")</f>
        <v>ನೀಲಂ ಸಂಜೀವ ರೆಡ್ಡಿ ಅವರ ಹೆಸರಿನ ಯಾತ್ರಿಕರ ವಸತಿ ಸೌಲಭ್ಯ.</v>
      </c>
      <c r="P85" s="10" t="str">
        <f>IFERROR(__xludf.DUMMYFUNCTION("GOOGLETRANSLATE(K85,""en"",""ml"")"),"നീലം സഞ്ജീവ റെഡ്ഡിയുടെ പേരിലുള്ള തീർത്ഥാടക താമസ സൗകര്യം.")</f>
        <v>നീലം സഞ്ജീവ റെഡ്ഡിയുടെ പേരിലുള്ള തീർത്ഥാടക താമസ സൗകര്യം.</v>
      </c>
    </row>
    <row r="86">
      <c r="A86" s="6">
        <f t="shared" si="1"/>
        <v>85</v>
      </c>
      <c r="B86" s="6" t="s">
        <v>291</v>
      </c>
      <c r="C86" s="6">
        <v>16.0770079</v>
      </c>
      <c r="D86" s="6">
        <v>78.8748782</v>
      </c>
      <c r="E86" s="5" t="s">
        <v>178</v>
      </c>
      <c r="F86" s="11" t="str">
        <f>IFERROR(__xludf.DUMMYFUNCTION("GOOGLETRANSLATE(B86,""en"",""te"")"),"శ్రీ మల్లికార్జున అన్నసత్ర సంఘం &amp; T.G. లక్ష్మీ వెంకటేష్ భవన్")</f>
        <v>శ్రీ మల్లికార్జున అన్నసత్ర సంఘం &amp; T.G. లక్ష్మీ వెంకటేష్ భవన్</v>
      </c>
      <c r="G86" s="10" t="str">
        <f>IFERROR(__xludf.DUMMYFUNCTION("GOOGLETRANSLATE(B86,""en"",""hi"")"),"श्री मल्लिकार्जुन अन्नसत्र संगम एवं टी.जी. लक्ष्मी वेंकटेश भवन")</f>
        <v>श्री मल्लिकार्जुन अन्नसत्र संगम एवं टी.जी. लक्ष्मी वेंकटेश भवन</v>
      </c>
      <c r="H86" s="10" t="str">
        <f>IFERROR(__xludf.DUMMYFUNCTION("GOOGLETRANSLATE(B86,""en"",""ta"")"),"ஸ்ரீ மல்லிகார்ஜுன அன்னசத்ர சங்கம் &amp; டி.ஜி. லட்சுமி வெங்கடேஷ் பவன்")</f>
        <v>ஸ்ரீ மல்லிகார்ஜுன அன்னசத்ர சங்கம் &amp; டி.ஜி. லட்சுமி வெங்கடேஷ் பவன்</v>
      </c>
      <c r="I86" s="10" t="str">
        <f>IFERROR(__xludf.DUMMYFUNCTION("GOOGLETRANSLATE(B86,""en"",""kn"")"),"ಶ್ರೀ ಮಲ್ಲಿಕಾರ್ಜುನ ಅನ್ನಸತ್ರ ಸಂಗಮ &amp; ಟಿ.ಜಿ. ಲಕ್ಷ್ಮಿ ವೆಂಕಟೇಶ ಭವನ")</f>
        <v>ಶ್ರೀ ಮಲ್ಲಿಕಾರ್ಜುನ ಅನ್ನಸತ್ರ ಸಂಗಮ &amp; ಟಿ.ಜಿ. ಲಕ್ಷ್ಮಿ ವೆಂಕಟೇಶ ಭವನ</v>
      </c>
      <c r="J86" s="10" t="str">
        <f>IFERROR(__xludf.DUMMYFUNCTION("GOOGLETRANSLATE(B86,""en"",""ml"")"),"ശ്രീ മല്ലികാർജുന അന്നസത്ര സംഘം &amp; ടി.ജി. ലക്ഷ്മി വെങ്കിടേഷ് ഭവൻ")</f>
        <v>ശ്രീ മല്ലികാർജുന അന്നസത്ര സംഘം &amp; ടി.ജി. ലക്ഷ്മി വെങ്കിടേഷ് ഭവൻ</v>
      </c>
      <c r="K86" s="12" t="s">
        <v>292</v>
      </c>
      <c r="L86" s="10" t="str">
        <f>IFERROR(__xludf.DUMMYFUNCTION("GOOGLETRANSLATE(K86,""en"",""te"")"),"యాత్రికులకు ఉచిత ఆహారం మరియు వసతి అందించే ఛారిటబుల్ కాంప్లెక్స్.")</f>
        <v>యాత్రికులకు ఉచిత ఆహారం మరియు వసతి అందించే ఛారిటబుల్ కాంప్లెక్స్.</v>
      </c>
      <c r="M86" s="10" t="str">
        <f>IFERROR(__xludf.DUMMYFUNCTION("GOOGLETRANSLATE(K86,""en"",""hi"")"),"तीर्थयात्रियों को मुफ्त भोजन और आवास प्रदान करने वाला धर्मार्थ परिसर।")</f>
        <v>तीर्थयात्रियों को मुफ्त भोजन और आवास प्रदान करने वाला धर्मार्थ परिसर।</v>
      </c>
      <c r="N86" s="10" t="str">
        <f>IFERROR(__xludf.DUMMYFUNCTION("GOOGLETRANSLATE(K86,""en"",""ta"")"),"யாத்ரீகர்களுக்கு இலவச உணவு மற்றும் தங்குமிடம் வழங்கும் தொண்டு வளாகம்.")</f>
        <v>யாத்ரீகர்களுக்கு இலவச உணவு மற்றும் தங்குமிடம் வழங்கும் தொண்டு வளாகம்.</v>
      </c>
      <c r="O86" s="10" t="str">
        <f>IFERROR(__xludf.DUMMYFUNCTION("GOOGLETRANSLATE(K86,""en"",""kn"")"),"ಯಾತ್ರಿಕರಿಗೆ ಉಚಿತ ಆಹಾರ ಮತ್ತು ವಸತಿ ಒದಗಿಸುವ ದತ್ತಿ ಸಂಕೀರ್ಣ.")</f>
        <v>ಯಾತ್ರಿಕರಿಗೆ ಉಚಿತ ಆಹಾರ ಮತ್ತು ವಸತಿ ಒದಗಿಸುವ ದತ್ತಿ ಸಂಕೀರ್ಣ.</v>
      </c>
      <c r="P86" s="10" t="str">
        <f>IFERROR(__xludf.DUMMYFUNCTION("GOOGLETRANSLATE(K86,""en"",""ml"")"),"തീർത്ഥാടകർക്ക് സൗജന്യ ഭക്ഷണവും താമസവും നൽകുന്ന ചാരിറ്റബിൾ കോംപ്ലക്സ്.")</f>
        <v>തീർത്ഥാടകർക്ക് സൗജന്യ ഭക്ഷണവും താമസവും നൽകുന്ന ചാരിറ്റബിൾ കോംപ്ലക്സ്.</v>
      </c>
    </row>
    <row r="87">
      <c r="A87" s="6">
        <f t="shared" si="1"/>
        <v>86</v>
      </c>
      <c r="B87" s="6" t="s">
        <v>293</v>
      </c>
      <c r="C87" s="6">
        <v>16.0788019</v>
      </c>
      <c r="D87" s="6">
        <v>78.8769126</v>
      </c>
      <c r="E87" s="5" t="s">
        <v>178</v>
      </c>
      <c r="F87" s="11" t="str">
        <f>IFERROR(__xludf.DUMMYFUNCTION("GOOGLETRANSLATE(B87,""en"",""te"")"),"పాతాలేశ్వర సదనం")</f>
        <v>పాతాలేశ్వర సదనం</v>
      </c>
      <c r="G87" s="10" t="str">
        <f>IFERROR(__xludf.DUMMYFUNCTION("GOOGLETRANSLATE(B87,""en"",""hi"")"),"पथलेश्वर सदनम")</f>
        <v>पथलेश्वर सदनम</v>
      </c>
      <c r="H87" s="10" t="str">
        <f>IFERROR(__xludf.DUMMYFUNCTION("GOOGLETRANSLATE(B87,""en"",""ta"")"),"பாதாளேஸ்வர சாதனம்")</f>
        <v>பாதாளேஸ்வர சாதனம்</v>
      </c>
      <c r="I87" s="10" t="str">
        <f>IFERROR(__xludf.DUMMYFUNCTION("GOOGLETRANSLATE(B87,""en"",""kn"")"),"ಪಾಠಲೇಶ್ವರ ಸದನಂ")</f>
        <v>ಪಾಠಲೇಶ್ವರ ಸದನಂ</v>
      </c>
      <c r="J87" s="10" t="str">
        <f>IFERROR(__xludf.DUMMYFUNCTION("GOOGLETRANSLATE(B87,""en"",""ml"")"),"പാതാളേശ്വര സദനം")</f>
        <v>പാതാളേശ്വര സദനം</v>
      </c>
      <c r="K87" s="12" t="s">
        <v>294</v>
      </c>
      <c r="L87" s="10" t="str">
        <f>IFERROR(__xludf.DUMMYFUNCTION("GOOGLETRANSLATE(K87,""en"",""te"")"),"పాతాలేశ్వర ప్రాంతానికి సమీపంలో సరళమైన వసతిని అందించే యాత్రికుల వసతి సౌకర్యం.")</f>
        <v>పాతాలేశ్వర ప్రాంతానికి సమీపంలో సరళమైన వసతిని అందించే యాత్రికుల వసతి సౌకర్యం.</v>
      </c>
      <c r="M87" s="10" t="str">
        <f>IFERROR(__xludf.DUMMYFUNCTION("GOOGLETRANSLATE(K87,""en"",""hi"")"),"पाथलेश्वर क्षेत्र के पास तीर्थयात्रियों के लिए साधारण आवास की सुविधा उपलब्ध है।")</f>
        <v>पाथलेश्वर क्षेत्र के पास तीर्थयात्रियों के लिए साधारण आवास की सुविधा उपलब्ध है।</v>
      </c>
      <c r="N87" s="10" t="str">
        <f>IFERROR(__xludf.DUMMYFUNCTION("GOOGLETRANSLATE(K87,""en"",""ta"")"),"பாதாளேஸ்வரா பகுதிக்கு அருகில் எளிய தங்குமிட வசதியுடன் கூடிய யாத்ரீகர் தங்கும் வசதி.")</f>
        <v>பாதாளேஸ்வரா பகுதிக்கு அருகில் எளிய தங்குமிட வசதியுடன் கூடிய யாத்ரீகர் தங்கும் வசதி.</v>
      </c>
      <c r="O87" s="10" t="str">
        <f>IFERROR(__xludf.DUMMYFUNCTION("GOOGLETRANSLATE(K87,""en"",""kn"")"),"ಪಾತಾಳೇಶ್ವರ ಪ್ರದೇಶದ ಬಳಿ ಸರಳ ವಸತಿ ಸೌಕರ್ಯವನ್ನು ನೀಡುವ ಯಾತ್ರಿಕರ ವಸತಿ ಸೌಲಭ್ಯ.")</f>
        <v>ಪಾತಾಳೇಶ್ವರ ಪ್ರದೇಶದ ಬಳಿ ಸರಳ ವಸತಿ ಸೌಕರ್ಯವನ್ನು ನೀಡುವ ಯಾತ್ರಿಕರ ವಸತಿ ಸೌಲಭ್ಯ.</v>
      </c>
      <c r="P87" s="10" t="str">
        <f>IFERROR(__xludf.DUMMYFUNCTION("GOOGLETRANSLATE(K87,""en"",""ml"")"),"പാതലേശ്വര പ്രദേശത്തിന് സമീപം ലളിതമായ താമസ സൗകര്യം പ്രദാനം ചെയ്യുന്ന തീർത്ഥാടക താമസ സൗകര്യം.")</f>
        <v>പാതലേശ്വര പ്രദേശത്തിന് സമീപം ലളിതമായ താമസ സൗകര്യം പ്രദാനം ചെയ്യുന്ന തീർത്ഥാടക താമസ സൗകര്യം.</v>
      </c>
    </row>
    <row r="88">
      <c r="A88" s="6">
        <f t="shared" si="1"/>
        <v>87</v>
      </c>
      <c r="B88" s="5" t="s">
        <v>295</v>
      </c>
      <c r="C88" s="6">
        <v>16.070106</v>
      </c>
      <c r="D88" s="6">
        <v>78.868794</v>
      </c>
      <c r="E88" s="5" t="s">
        <v>178</v>
      </c>
      <c r="F88" s="20" t="s">
        <v>296</v>
      </c>
      <c r="G88" s="10" t="str">
        <f>IFERROR(__xludf.DUMMYFUNCTION("GOOGLETRANSLATE(B88,""en"",""hi"")"),"अखिला भारत वड्डेरा श्रीशैल क्षेत्र विद्या राजा (वड्डू)")</f>
        <v>अखिला भारत वड्डेरा श्रीशैल क्षेत्र विद्या राजा (वड्डू)</v>
      </c>
      <c r="H88" s="8" t="s">
        <v>297</v>
      </c>
      <c r="I88" s="8" t="s">
        <v>298</v>
      </c>
      <c r="J88" s="8" t="s">
        <v>299</v>
      </c>
      <c r="K88" s="12" t="s">
        <v>300</v>
      </c>
      <c r="L88" s="10" t="str">
        <f>IFERROR(__xludf.DUMMYFUNCTION("GOOGLETRANSLATE(K88,""en"",""te"")"),"వడ్డెర భక్తులకు వసతి కల్పించే కమ్యూనిటీ నడిపే సత్రం.")</f>
        <v>వడ్డెర భక్తులకు వసతి కల్పించే కమ్యూనిటీ నడిపే సత్రం.</v>
      </c>
      <c r="M88" s="10" t="str">
        <f>IFERROR(__xludf.DUMMYFUNCTION("GOOGLETRANSLATE(K88,""en"",""hi"")"),"समुदाय द्वारा संचालित सत्रम, जो वड्डेरा के श्रद्धालुओं के लिए आवास प्रदान करता है।")</f>
        <v>समुदाय द्वारा संचालित सत्रम, जो वड्डेरा के श्रद्धालुओं के लिए आवास प्रदान करता है।</v>
      </c>
      <c r="N88" s="10" t="str">
        <f>IFERROR(__xludf.DUMMYFUNCTION("GOOGLETRANSLATE(K88,""en"",""ta"")"),"வத்தேரா பக்தர்களுக்கு தங்குமிட வசதிகளை வழங்கும் சமூகத்தால் நடத்தப்படும் சத்திரம்.")</f>
        <v>வத்தேரா பக்தர்களுக்கு தங்குமிட வசதிகளை வழங்கும் சமூகத்தால் நடத்தப்படும் சத்திரம்.</v>
      </c>
      <c r="O88" s="10" t="str">
        <f>IFERROR(__xludf.DUMMYFUNCTION("GOOGLETRANSLATE(K88,""en"",""kn"")"),"ವಡ್ಡೇರ ಭಕ್ತರಿಗೆ ವಸತಿ ಒದಗಿಸುವ ಸಮುದಾಯ ನಡೆಸುವ ಸತ್ರಂ.")</f>
        <v>ವಡ್ಡೇರ ಭಕ್ತರಿಗೆ ವಸತಿ ಒದಗಿಸುವ ಸಮುದಾಯ ನಡೆಸುವ ಸತ್ರಂ.</v>
      </c>
      <c r="P88" s="10" t="str">
        <f>IFERROR(__xludf.DUMMYFUNCTION("GOOGLETRANSLATE(K88,""en"",""ml"")"),"വഡ്ഡേര ഭക്തർക്ക് താമസ സൗകര്യം ഒരുക്കുന്ന സമൂഹം നടത്തുന്ന സത്രം.")</f>
        <v>വഡ്ഡേര ഭക്തർക്ക് താമസ സൗകര്യം ഒരുക്കുന്ന സമൂഹം നടത്തുന്ന സത്രം.</v>
      </c>
    </row>
    <row r="89">
      <c r="A89" s="6">
        <f t="shared" si="1"/>
        <v>88</v>
      </c>
      <c r="B89" s="6" t="s">
        <v>301</v>
      </c>
      <c r="C89" s="6">
        <v>16.0722667</v>
      </c>
      <c r="D89" s="6">
        <v>78.8739851</v>
      </c>
      <c r="E89" s="5" t="s">
        <v>178</v>
      </c>
      <c r="F89" s="11" t="str">
        <f>IFERROR(__xludf.DUMMYFUNCTION("GOOGLETRANSLATE(B89,""en"",""te"")"),"కర్ణభక్తుల సేవాసదన్")</f>
        <v>కర్ణభక్తుల సేవాసదన్</v>
      </c>
      <c r="G89" s="10" t="str">
        <f>IFERROR(__xludf.DUMMYFUNCTION("GOOGLETRANSLATE(B89,""en"",""hi"")"),"कर्णभक्तुला सेवासदन")</f>
        <v>कर्णभक्तुला सेवासदन</v>
      </c>
      <c r="H89" s="10" t="str">
        <f>IFERROR(__xludf.DUMMYFUNCTION("GOOGLETRANSLATE(B89,""en"",""ta"")"),"கர்ணபக்துலா சேவாசதன்")</f>
        <v>கர்ணபக்துலா சேவாசதன்</v>
      </c>
      <c r="I89" s="10" t="str">
        <f>IFERROR(__xludf.DUMMYFUNCTION("GOOGLETRANSLATE(B89,""en"",""kn"")"),"ಕರ್ಣಭಕ್ತುಲ ಸೇವಾಸದನ")</f>
        <v>ಕರ್ಣಭಕ್ತುಲ ಸೇವಾಸದನ</v>
      </c>
      <c r="J89" s="10" t="str">
        <f>IFERROR(__xludf.DUMMYFUNCTION("GOOGLETRANSLATE(B89,""en"",""ml"")"),"കർണഭക്തുല സേവാസദൻ")</f>
        <v>കർണഭക്തുല സേവാസദൻ</v>
      </c>
      <c r="K89" s="12" t="s">
        <v>302</v>
      </c>
      <c r="L89" s="10" t="str">
        <f>IFERROR(__xludf.DUMMYFUNCTION("GOOGLETRANSLATE(K89,""en"",""te"")"),"ప్రాథమిక సౌకర్యాలను అందించే సేవా ఆధారిత యాత్రికుల వసతి కేంద్రం.")</f>
        <v>ప్రాథమిక సౌకర్యాలను అందించే సేవా ఆధారిత యాత్రికుల వసతి కేంద్రం.</v>
      </c>
      <c r="M89" s="10" t="str">
        <f>IFERROR(__xludf.DUMMYFUNCTION("GOOGLETRANSLATE(K89,""en"",""hi"")"),"बुनियादी सुविधाएं प्रदान करने वाला सेवा-उन्मुख तीर्थयात्री आवास केंद्र।")</f>
        <v>बुनियादी सुविधाएं प्रदान करने वाला सेवा-उन्मुख तीर्थयात्री आवास केंद्र।</v>
      </c>
      <c r="N89" s="10" t="str">
        <f>IFERROR(__xludf.DUMMYFUNCTION("GOOGLETRANSLATE(K89,""en"",""ta"")"),"அடிப்படை வசதிகளை வழங்கும் சேவை சார்ந்த யாத்ரீக தங்குமிட மையம்.")</f>
        <v>அடிப்படை வசதிகளை வழங்கும் சேவை சார்ந்த யாத்ரீக தங்குமிட மையம்.</v>
      </c>
      <c r="O89" s="10" t="str">
        <f>IFERROR(__xludf.DUMMYFUNCTION("GOOGLETRANSLATE(K89,""en"",""kn"")"),"ಮೂಲಭೂತ ಸೌಲಭ್ಯಗಳನ್ನು ಒದಗಿಸುವ ಸೇವಾ-ಆಧಾರಿತ ಯಾತ್ರಿ ವಸತಿ ಕೇಂದ್ರ.")</f>
        <v>ಮೂಲಭೂತ ಸೌಲಭ್ಯಗಳನ್ನು ಒದಗಿಸುವ ಸೇವಾ-ಆಧಾರಿತ ಯಾತ್ರಿ ವಸತಿ ಕೇಂದ್ರ.</v>
      </c>
      <c r="P89" s="10" t="str">
        <f>IFERROR(__xludf.DUMMYFUNCTION("GOOGLETRANSLATE(K89,""en"",""ml"")"),"അടിസ്ഥാന സൗകര്യങ്ങൾ വാഗ്ദാനം ചെയ്യുന്ന സേവനാധിഷ്ഠിത തീർത്ഥാടന താമസ കേന്ദ്രം.")</f>
        <v>അടിസ്ഥാന സൗകര്യങ്ങൾ വാഗ്ദാനം ചെയ്യുന്ന സേവനാധിഷ്ഠിത തീർത്ഥാടന താമസ കേന്ദ്രം.</v>
      </c>
    </row>
    <row r="90">
      <c r="A90" s="6">
        <f t="shared" si="1"/>
        <v>89</v>
      </c>
      <c r="B90" s="6" t="s">
        <v>303</v>
      </c>
      <c r="C90" s="6">
        <v>16.07181</v>
      </c>
      <c r="D90" s="6">
        <v>78.8749</v>
      </c>
      <c r="E90" s="5" t="s">
        <v>178</v>
      </c>
      <c r="F90" s="11" t="str">
        <f>IFERROR(__xludf.DUMMYFUNCTION("GOOGLETRANSLATE(B90,""en"",""te"")"),"శ్రీ కృష్ణ దేవరాయ కాపు సత్రం &amp; ఛారిటబుల్ ట్రస్ట్")</f>
        <v>శ్రీ కృష్ణ దేవరాయ కాపు సత్రం &amp; ఛారిటబుల్ ట్రస్ట్</v>
      </c>
      <c r="G90" s="10" t="str">
        <f>IFERROR(__xludf.DUMMYFUNCTION("GOOGLETRANSLATE(B90,""en"",""hi"")"),"श्री कृष्ण देवराय कापू सतराम और चैरिटेबल ट्रस्ट")</f>
        <v>श्री कृष्ण देवराय कापू सतराम और चैरिटेबल ट्रस्ट</v>
      </c>
      <c r="H90" s="10" t="str">
        <f>IFERROR(__xludf.DUMMYFUNCTION("GOOGLETRANSLATE(B90,""en"",""ta"")"),"ஸ்ரீ கிருஷ்ண தேவராய கபு சத்திரம் &amp; அறக்கட்டளை")</f>
        <v>ஸ்ரீ கிருஷ்ண தேவராய கபு சத்திரம் &amp; அறக்கட்டளை</v>
      </c>
      <c r="I90" s="10" t="str">
        <f>IFERROR(__xludf.DUMMYFUNCTION("GOOGLETRANSLATE(B90,""en"",""kn"")"),"ಶ್ರೀ ಕೃಷ್ಣ ದೇವರಾಯ ಕಾಪು ಸತ್ರಂ &amp; ಚಾರಿಟೇಬಲ್ ಟ್ರಸ್ಟ್")</f>
        <v>ಶ್ರೀ ಕೃಷ್ಣ ದೇವರಾಯ ಕಾಪು ಸತ್ರಂ &amp; ಚಾರಿಟೇಬಲ್ ಟ್ರಸ್ಟ್</v>
      </c>
      <c r="J90" s="10" t="str">
        <f>IFERROR(__xludf.DUMMYFUNCTION("GOOGLETRANSLATE(B90,""en"",""ml"")"),"ശ്രീകൃഷ്ണ ദേവരായ കാപ്പു സത്രം &amp; ചാരിറ്റബിൾ ട്രസ്റ്റ്")</f>
        <v>ശ്രീകൃഷ്ണ ദേവരായ കാപ്പു സത്രം &amp; ചാരിറ്റബിൾ ട്രസ്റ്റ്</v>
      </c>
      <c r="K90" s="12" t="s">
        <v>304</v>
      </c>
      <c r="L90" s="10" t="str">
        <f>IFERROR(__xludf.DUMMYFUNCTION("GOOGLETRANSLATE(K90,""en"",""te"")"),"సమాజ నిర్వహణలోని సత్రం, వసతి మరియు యాత్రికుల సేవలను అందిస్తుంది.")</f>
        <v>సమాజ నిర్వహణలోని సత్రం, వసతి మరియు యాత్రికుల సేవలను అందిస్తుంది.</v>
      </c>
      <c r="M90" s="10" t="str">
        <f>IFERROR(__xludf.DUMMYFUNCTION("GOOGLETRANSLATE(K90,""en"",""hi"")"),"समुदाय द्वारा संचालित सतराम जो आवास और तीर्थयात्री सेवाएं प्रदान करता है।")</f>
        <v>समुदाय द्वारा संचालित सतराम जो आवास और तीर्थयात्री सेवाएं प्रदान करता है।</v>
      </c>
      <c r="N90" s="10" t="str">
        <f>IFERROR(__xludf.DUMMYFUNCTION("GOOGLETRANSLATE(K90,""en"",""ta"")"),"தங்குமிடம் மற்றும் யாத்ரீக சேவைகளை வழங்கும் சமூகத்தால் நிர்வகிக்கப்படும் சத்திரம்.")</f>
        <v>தங்குமிடம் மற்றும் யாத்ரீக சேவைகளை வழங்கும் சமூகத்தால் நிர்வகிக்கப்படும் சத்திரம்.</v>
      </c>
      <c r="O90" s="10" t="str">
        <f>IFERROR(__xludf.DUMMYFUNCTION("GOOGLETRANSLATE(K90,""en"",""kn"")"),"ಸಮುದಾಯ-ನಿರ್ವಹಣೆಯ ಸತ್ರಂ, ವಸತಿ ಮತ್ತು ಯಾತ್ರಿಕ ಸೇವೆಗಳನ್ನು ಒದಗಿಸುತ್ತದೆ.")</f>
        <v>ಸಮುದಾಯ-ನಿರ್ವಹಣೆಯ ಸತ್ರಂ, ವಸತಿ ಮತ್ತು ಯಾತ್ರಿಕ ಸೇವೆಗಳನ್ನು ಒದಗಿಸುತ್ತದೆ.</v>
      </c>
      <c r="P90" s="10" t="str">
        <f>IFERROR(__xludf.DUMMYFUNCTION("GOOGLETRANSLATE(K90,""en"",""ml"")"),"താമസ സൗകര്യവും തീർത്ഥാടന സേവനങ്ങളും നൽകുന്ന സമൂഹം നിയന്ത്രിക്കുന്ന സത്രം.")</f>
        <v>താമസ സൗകര്യവും തീർത്ഥാടന സേവനങ്ങളും നൽകുന്ന സമൂഹം നിയന്ത്രിക്കുന്ന സത്രം.</v>
      </c>
    </row>
    <row r="91">
      <c r="A91" s="6">
        <f t="shared" si="1"/>
        <v>90</v>
      </c>
      <c r="B91" s="6" t="s">
        <v>305</v>
      </c>
      <c r="C91" s="6">
        <v>16.07219</v>
      </c>
      <c r="D91" s="6">
        <v>78.87371</v>
      </c>
      <c r="E91" s="5" t="s">
        <v>178</v>
      </c>
      <c r="F91" s="11" t="str">
        <f>IFERROR(__xludf.DUMMYFUNCTION("GOOGLETRANSLATE(B91,""en"",""te"")"),"ఉమా రామలింగేశ్వర దేవాంగ సత్రం")</f>
        <v>ఉమా రామలింగేశ్వర దేవాంగ సత్రం</v>
      </c>
      <c r="G91" s="10" t="str">
        <f>IFERROR(__xludf.DUMMYFUNCTION("GOOGLETRANSLATE(B91,""en"",""hi"")"),"उमा रामलिंगेश्वर देवंगा सत्रम")</f>
        <v>उमा रामलिंगेश्वर देवंगा सत्रम</v>
      </c>
      <c r="H91" s="10" t="str">
        <f>IFERROR(__xludf.DUMMYFUNCTION("GOOGLETRANSLATE(B91,""en"",""ta"")"),"உமா ராமலிங்கேஸ்வர தேவாங்க சத்திரம்")</f>
        <v>உமா ராமலிங்கேஸ்வர தேவாங்க சத்திரம்</v>
      </c>
      <c r="I91" s="10" t="str">
        <f>IFERROR(__xludf.DUMMYFUNCTION("GOOGLETRANSLATE(B91,""en"",""kn"")"),"ಉಮಾ ರಾಮಲಿಂಗೇಶ್ವರ ದೇವಾಂಗ ಸತ್ರಂ")</f>
        <v>ಉಮಾ ರಾಮಲಿಂಗೇಶ್ವರ ದೇವಾಂಗ ಸತ್ರಂ</v>
      </c>
      <c r="J91" s="10" t="str">
        <f>IFERROR(__xludf.DUMMYFUNCTION("GOOGLETRANSLATE(B91,""en"",""ml"")"),"ഉമാ രാമലിംഗേശ്വര ദേവാംഗ സത്രം")</f>
        <v>ഉമാ രാമലിംഗേശ്വര ദേവാംഗ സത്രം</v>
      </c>
      <c r="K91" s="12" t="s">
        <v>306</v>
      </c>
      <c r="L91" s="10" t="str">
        <f>IFERROR(__xludf.DUMMYFUNCTION("GOOGLETRANSLATE(K91,""en"",""te"")"),"దేవాంగ కమ్యూనిటీ సత్రం యాత్రికులకు వసతి కల్పిస్తోంది.")</f>
        <v>దేవాంగ కమ్యూనిటీ సత్రం యాత్రికులకు వసతి కల్పిస్తోంది.</v>
      </c>
      <c r="M91" s="10" t="str">
        <f>IFERROR(__xludf.DUMMYFUNCTION("GOOGLETRANSLATE(K91,""en"",""hi"")"),"देवांगा समुदाय सतराम तीर्थयात्रियों के लिए आवास की पेशकश कर रहा है।")</f>
        <v>देवांगा समुदाय सतराम तीर्थयात्रियों के लिए आवास की पेशकश कर रहा है।</v>
      </c>
      <c r="N91" s="10" t="str">
        <f>IFERROR(__xludf.DUMMYFUNCTION("GOOGLETRANSLATE(K91,""en"",""ta"")"),"தேவாங்க சமூக சத்திரம் யாத்ரீகர்களுக்கு தங்கும் வசதியை வழங்குகிறது.")</f>
        <v>தேவாங்க சமூக சத்திரம் யாத்ரீகர்களுக்கு தங்கும் வசதியை வழங்குகிறது.</v>
      </c>
      <c r="O91" s="10" t="str">
        <f>IFERROR(__xludf.DUMMYFUNCTION("GOOGLETRANSLATE(K91,""en"",""kn"")"),"ದೇವಾಂಗ ಸಮುದಾಯದ ಸತ್ರಂ ಯಾತ್ರಾರ್ಥಿಗಳಿಗೆ ವಸತಿ ನೀಡುತ್ತಿದೆ.")</f>
        <v>ದೇವಾಂಗ ಸಮುದಾಯದ ಸತ್ರಂ ಯಾತ್ರಾರ್ಥಿಗಳಿಗೆ ವಸತಿ ನೀಡುತ್ತಿದೆ.</v>
      </c>
      <c r="P91" s="10" t="str">
        <f>IFERROR(__xludf.DUMMYFUNCTION("GOOGLETRANSLATE(K91,""en"",""ml"")"),"ദേവാംഗ സമുദായ സത്രം തീർഥാടകർക്ക് താമസസൗകര്യം നൽകുന്നു.")</f>
        <v>ദേവാംഗ സമുദായ സത്രം തീർഥാടകർക്ക് താമസസൗകര്യം നൽകുന്നു.</v>
      </c>
    </row>
    <row r="92">
      <c r="A92" s="6">
        <f t="shared" si="1"/>
        <v>91</v>
      </c>
      <c r="B92" s="6" t="s">
        <v>307</v>
      </c>
      <c r="C92" s="6">
        <v>16.07816</v>
      </c>
      <c r="D92" s="6">
        <v>78.87603</v>
      </c>
      <c r="E92" s="5" t="s">
        <v>178</v>
      </c>
      <c r="F92" s="11" t="str">
        <f>IFERROR(__xludf.DUMMYFUNCTION("GOOGLETRANSLATE(B92,""en"",""te"")"),"అఖిల భారత శ్రీశైల శాలివాహన కుమ్మర సత్రం")</f>
        <v>అఖిల భారత శ్రీశైల శాలివాహన కుమ్మర సత్రం</v>
      </c>
      <c r="G92" s="10" t="str">
        <f>IFERROR(__xludf.DUMMYFUNCTION("GOOGLETRANSLATE(B92,""en"",""hi"")"),"अखिला भरत श्रीशैल शालिवाहन कुम्मारा सत्रम्")</f>
        <v>अखिला भरत श्रीशैल शालिवाहन कुम्मारा सत्रम्</v>
      </c>
      <c r="H92" s="10" t="str">
        <f>IFERROR(__xludf.DUMMYFUNCTION("GOOGLETRANSLATE(B92,""en"",""ta"")"),"அகில பரத ஸ்ரீசைல ஷாலிவாஹன கும்மர சத்ரம்")</f>
        <v>அகில பரத ஸ்ரீசைல ஷாலிவாஹன கும்மர சத்ரம்</v>
      </c>
      <c r="I92" s="10" t="str">
        <f>IFERROR(__xludf.DUMMYFUNCTION("GOOGLETRANSLATE(B92,""en"",""kn"")"),"ಅಖಿಲ ಭಾರತ ಶ್ರೀಶೈಲ ಶಾಲಿವಾಹನ ಕುಮ್ಮರ ಸತ್ರಂ")</f>
        <v>ಅಖಿಲ ಭಾರತ ಶ್ರೀಶೈಲ ಶಾಲಿವಾಹನ ಕುಮ್ಮರ ಸತ್ರಂ</v>
      </c>
      <c r="J92" s="10" t="str">
        <f>IFERROR(__xludf.DUMMYFUNCTION("GOOGLETRANSLATE(B92,""en"",""ml"")"),"അഖില ഭരത ശ്രീശൈല ശാലിവാഹന കുമ്മാര സത്രം")</f>
        <v>അഖില ഭരത ശ്രീശൈല ശാലിവാഹന കുമ്മാര സത്രം</v>
      </c>
      <c r="K92" s="12" t="s">
        <v>308</v>
      </c>
      <c r="L92" s="10" t="str">
        <f>IFERROR(__xludf.DUMMYFUNCTION("GOOGLETRANSLATE(K92,""en"",""te"")"),"సమాజం నడిపే సత్రం యాత్రికులకు వసతి మరియు సహాయాన్ని అందిస్తుంది.")</f>
        <v>సమాజం నడిపే సత్రం యాత్రికులకు వసతి మరియు సహాయాన్ని అందిస్తుంది.</v>
      </c>
      <c r="M92" s="10" t="str">
        <f>IFERROR(__xludf.DUMMYFUNCTION("GOOGLETRANSLATE(K92,""en"",""hi"")"),"तीर्थयात्रियों को आवास और सहायता प्रदान करने वाला सामुदायिक रूप से संचालित सत्रम।")</f>
        <v>तीर्थयात्रियों को आवास और सहायता प्रदान करने वाला सामुदायिक रूप से संचालित सत्रम।</v>
      </c>
      <c r="N92" s="10" t="str">
        <f>IFERROR(__xludf.DUMMYFUNCTION("GOOGLETRANSLATE(K92,""en"",""ta"")"),"யாத்ரீகர்களுக்கு தங்குமிடம் மற்றும் ஆதரவை வழங்கும் சமூகத்தால் நடத்தப்படும் சத்திரம்.")</f>
        <v>யாத்ரீகர்களுக்கு தங்குமிடம் மற்றும் ஆதரவை வழங்கும் சமூகத்தால் நடத்தப்படும் சத்திரம்.</v>
      </c>
      <c r="O92" s="10" t="str">
        <f>IFERROR(__xludf.DUMMYFUNCTION("GOOGLETRANSLATE(K92,""en"",""kn"")"),"ಸಮುದಾಯ ನಡೆಸುವ ಸತ್ರಂ, ಯಾತ್ರಿಕರಿಗೆ ವಸತಿ ಮತ್ತು ಬೆಂಬಲವನ್ನು ಒದಗಿಸುತ್ತದೆ.")</f>
        <v>ಸಮುದಾಯ ನಡೆಸುವ ಸತ್ರಂ, ಯಾತ್ರಿಕರಿಗೆ ವಸತಿ ಮತ್ತು ಬೆಂಬಲವನ್ನು ಒದಗಿಸುತ್ತದೆ.</v>
      </c>
      <c r="P92" s="10" t="str">
        <f>IFERROR(__xludf.DUMMYFUNCTION("GOOGLETRANSLATE(K92,""en"",""ml"")"),"തീർത്ഥാടകർക്ക് താമസവും പിന്തുണയും നൽകുന്ന സമൂഹം നടത്തുന്ന സത്രം.")</f>
        <v>തീർത്ഥാടകർക്ക് താമസവും പിന്തുണയും നൽകുന്ന സമൂഹം നടത്തുന്ന സത്രം.</v>
      </c>
    </row>
    <row r="93">
      <c r="A93" s="6">
        <f t="shared" si="1"/>
        <v>92</v>
      </c>
      <c r="B93" s="6" t="s">
        <v>309</v>
      </c>
      <c r="C93" s="6">
        <v>16.0776025</v>
      </c>
      <c r="D93" s="6">
        <v>78.8664706</v>
      </c>
      <c r="E93" s="8" t="s">
        <v>310</v>
      </c>
      <c r="F93" s="8" t="s">
        <v>311</v>
      </c>
      <c r="G93" s="8" t="s">
        <v>312</v>
      </c>
      <c r="H93" s="8" t="s">
        <v>313</v>
      </c>
      <c r="I93" s="8" t="s">
        <v>314</v>
      </c>
      <c r="J93" s="8" t="s">
        <v>315</v>
      </c>
      <c r="K93" s="12" t="s">
        <v>316</v>
      </c>
      <c r="L93" s="10" t="str">
        <f>IFERROR(__xludf.DUMMYFUNCTION("GOOGLETRANSLATE(K93,""en"",""te"")"),"శ్రీ సదాశివానంద ఆశ్రమం ఒక ఆధ్యాత్మిక విశ్రాంతి కేంద్రం. ఇది ధ్యానం మరియు మతపరమైన కార్యకలాపాలకు మద్దతు ఇస్తుంది. వాతావరణం ప్రశాంతంగా ఉంటుంది. ప్రవేశం నియంత్రించబడుతుంది.")</f>
        <v>శ్రీ సదాశివానంద ఆశ్రమం ఒక ఆధ్యాత్మిక విశ్రాంతి కేంద్రం. ఇది ధ్యానం మరియు మతపరమైన కార్యకలాపాలకు మద్దతు ఇస్తుంది. వాతావరణం ప్రశాంతంగా ఉంటుంది. ప్రవేశం నియంత్రించబడుతుంది.</v>
      </c>
      <c r="M93" s="10" t="str">
        <f>IFERROR(__xludf.DUMMYFUNCTION("GOOGLETRANSLATE(K93,""en"",""hi"")"),"श्री सदाशिवानंद आश्रम एक आध्यात्मिक साधना केंद्र है। यह ध्यान और धार्मिक गतिविधियों को बढ़ावा देता है। यहाँ का वातावरण शांत है। प्रवेश नियंत्रित है।")</f>
        <v>श्री सदाशिवानंद आश्रम एक आध्यात्मिक साधना केंद्र है। यह ध्यान और धार्मिक गतिविधियों को बढ़ावा देता है। यहाँ का वातावरण शांत है। प्रवेश नियंत्रित है।</v>
      </c>
      <c r="N93" s="10" t="str">
        <f>IFERROR(__xludf.DUMMYFUNCTION("GOOGLETRANSLATE(K93,""en"",""ta"")"),"ஸ்ரீ சதாசிவானந்தா ஆசிரமம் ஒரு ஆன்மீக தியான மையம். இது தியானம் மற்றும் மத நடவடிக்கைகளை ஆதரிக்கிறது. சூழல் அமைதியானது. நுழைவு ஒழுங்குபடுத்தப்பட்டுள்ளது.")</f>
        <v>ஸ்ரீ சதாசிவானந்தா ஆசிரமம் ஒரு ஆன்மீக தியான மையம். இது தியானம் மற்றும் மத நடவடிக்கைகளை ஆதரிக்கிறது. சூழல் அமைதியானது. நுழைவு ஒழுங்குபடுத்தப்பட்டுள்ளது.</v>
      </c>
      <c r="O93" s="10" t="str">
        <f>IFERROR(__xludf.DUMMYFUNCTION("GOOGLETRANSLATE(K93,""en"",""kn"")"),"ಶ್ರೀ ಸದಾಶಿವಾನಂದ ಆಶ್ರಮವು ಒಂದು ಆಧ್ಯಾತ್ಮಿಕ ಕೇಂದ್ರವಾಗಿದೆ. ಇದು ಧ್ಯಾನ ಮತ್ತು ಧಾರ್ಮಿಕ ಚಟುವಟಿಕೆಗಳನ್ನು ಬೆಂಬಲಿಸುತ್ತದೆ. ಪರಿಸರವು ಶಾಂತವಾಗಿದೆ. ಪ್ರವೇಶವನ್ನು ನಿಯಂತ್ರಿಸಲಾಗುತ್ತದೆ.")</f>
        <v>ಶ್ರೀ ಸದಾಶಿವಾನಂದ ಆಶ್ರಮವು ಒಂದು ಆಧ್ಯಾತ್ಮಿಕ ಕೇಂದ್ರವಾಗಿದೆ. ಇದು ಧ್ಯಾನ ಮತ್ತು ಧಾರ್ಮಿಕ ಚಟುವಟಿಕೆಗಳನ್ನು ಬೆಂಬಲಿಸುತ್ತದೆ. ಪರಿಸರವು ಶಾಂತವಾಗಿದೆ. ಪ್ರವೇಶವನ್ನು ನಿಯಂತ್ರಿಸಲಾಗುತ್ತದೆ.</v>
      </c>
      <c r="P93" s="10" t="str">
        <f>IFERROR(__xludf.DUMMYFUNCTION("GOOGLETRANSLATE(K93,""en"",""ml"")"),"ശ്രീ സദാശിവാനന്ദ ആശ്രമം ഒരു ആത്മീയ വിശ്രമ കേന്ദ്രമാണ്. ധ്യാനത്തിനും മതപരമായ പ്രവർത്തനങ്ങൾക്കും ഇത് പിന്തുണ നൽകുന്നു. പരിസ്ഥിതി സമാധാനപരമാണ്. പ്രവേശനം നിയന്ത്രിതമാണ്.")</f>
        <v>ശ്രീ സദാശിവാനന്ദ ആശ്രമം ഒരു ആത്മീയ വിശ്രമ കേന്ദ്രമാണ്. ധ്യാനത്തിനും മതപരമായ പ്രവർത്തനങ്ങൾക്കും ഇത് പിന്തുണ നൽകുന്നു. പരിസ്ഥിതി സമാധാനപരമാണ്. പ്രവേശനം നിയന്ത്രിതമാണ്.</v>
      </c>
    </row>
    <row r="94">
      <c r="A94" s="6">
        <f t="shared" si="1"/>
        <v>93</v>
      </c>
      <c r="B94" s="6" t="s">
        <v>317</v>
      </c>
      <c r="C94" s="6">
        <v>16.0741405</v>
      </c>
      <c r="D94" s="6">
        <v>78.8702092</v>
      </c>
      <c r="E94" s="8" t="s">
        <v>310</v>
      </c>
      <c r="F94" s="8" t="s">
        <v>318</v>
      </c>
      <c r="G94" s="8" t="s">
        <v>319</v>
      </c>
      <c r="H94" s="8" t="s">
        <v>320</v>
      </c>
      <c r="I94" s="8" t="s">
        <v>321</v>
      </c>
      <c r="J94" s="8" t="s">
        <v>322</v>
      </c>
      <c r="K94" s="12" t="s">
        <v>323</v>
      </c>
      <c r="L94" s="10" t="str">
        <f>IFERROR(__xludf.DUMMYFUNCTION("GOOGLETRANSLATE(K94,""en"",""te"")"),"శృంగేరి శంకర మఠం శృంగేరి ఆధ్యాత్మిక సంప్రదాయంతో ముడిపడి ఉంది. ఇది పూజ మరియు మార్గదర్శకత్వం కోసం ఒక ప్రదేశంగా పనిచేస్తుంది. మతపరమైన కార్యకలాపాలు క్రమం తప్పకుండా జరుగుతాయి. నిర్దిష్ట సమయాల్లో సందర్శకులను అనుమతిస్తారు.")</f>
        <v>శృంగేరి శంకర మఠం శృంగేరి ఆధ్యాత్మిక సంప్రదాయంతో ముడిపడి ఉంది. ఇది పూజ మరియు మార్గదర్శకత్వం కోసం ఒక ప్రదేశంగా పనిచేస్తుంది. మతపరమైన కార్యకలాపాలు క్రమం తప్పకుండా జరుగుతాయి. నిర్దిష్ట సమయాల్లో సందర్శకులను అనుమతిస్తారు.</v>
      </c>
      <c r="M94" s="10" t="str">
        <f>IFERROR(__xludf.DUMMYFUNCTION("GOOGLETRANSLATE(K94,""en"",""hi"")"),"श्रृंगेरी शंकरा मठ श्रृंगेरी आध्यात्मिक परंपरा से जुड़ा हुआ है। यह पूजा और मार्गदर्शन का केंद्र है। यहां नियमित रूप से धार्मिक गतिविधियां आयोजित की जाती हैं। आगंतुकों को विशिष्ट समय पर ही आने की अनुमति है।")</f>
        <v>श्रृंगेरी शंकरा मठ श्रृंगेरी आध्यात्मिक परंपरा से जुड़ा हुआ है। यह पूजा और मार्गदर्शन का केंद्र है। यहां नियमित रूप से धार्मिक गतिविधियां आयोजित की जाती हैं। आगंतुकों को विशिष्ट समय पर ही आने की अनुमति है।</v>
      </c>
      <c r="N94" s="10" t="str">
        <f>IFERROR(__xludf.DUMMYFUNCTION("GOOGLETRANSLATE(K94,""en"",""ta"")"),"சிருங்கேரி சங்கர மடம் சிருங்கேரி ஆன்மீக பாரம்பரியத்துடன் தொடர்புடையது. இது வழிபாடு மற்றும் வழிகாட்டுதலுக்கான இடமாக செயல்படுகிறது. மத நடவடிக்கைகள் தொடர்ந்து நடத்தப்படுகின்றன. குறிப்பிட்ட நேரங்களில் பார்வையாளர்கள் அனுமதிக்கப்படுகிறார்கள்.")</f>
        <v>சிருங்கேரி சங்கர மடம் சிருங்கேரி ஆன்மீக பாரம்பரியத்துடன் தொடர்புடையது. இது வழிபாடு மற்றும் வழிகாட்டுதலுக்கான இடமாக செயல்படுகிறது. மத நடவடிக்கைகள் தொடர்ந்து நடத்தப்படுகின்றன. குறிப்பிட்ட நேரங்களில் பார்வையாளர்கள் அனுமதிக்கப்படுகிறார்கள்.</v>
      </c>
      <c r="O94" s="10" t="str">
        <f>IFERROR(__xludf.DUMMYFUNCTION("GOOGLETRANSLATE(K94,""en"",""kn"")"),"ಶೃಂಗೇರಿ ಶಂಕರ ಮಠವು ಶೃಂಗೇರಿ ಆಧ್ಯಾತ್ಮಿಕ ಸಂಪ್ರದಾಯದೊಂದಿಗೆ ಸಂಬಂಧ ಹೊಂದಿದೆ. ಇದು ಪೂಜೆ ಮತ್ತು ಮಾರ್ಗದರ್ಶನಕ್ಕಾಗಿ ಒಂದು ಸ್ಥಳವಾಗಿ ಕಾರ್ಯನಿರ್ವಹಿಸುತ್ತದೆ. ಧಾರ್ಮಿಕ ಚಟುವಟಿಕೆಗಳನ್ನು ನಿಯಮಿತವಾಗಿ ನಡೆಸಲಾಗುತ್ತದೆ. ನಿರ್ದಿಷ್ಟ ಸಮಯದಲ್ಲಿ ಸಂದರ್ಶಕರಿಗೆ ಅವಕಾಶವಿದೆ.")</f>
        <v>ಶೃಂಗೇರಿ ಶಂಕರ ಮಠವು ಶೃಂಗೇರಿ ಆಧ್ಯಾತ್ಮಿಕ ಸಂಪ್ರದಾಯದೊಂದಿಗೆ ಸಂಬಂಧ ಹೊಂದಿದೆ. ಇದು ಪೂಜೆ ಮತ್ತು ಮಾರ್ಗದರ್ಶನಕ್ಕಾಗಿ ಒಂದು ಸ್ಥಳವಾಗಿ ಕಾರ್ಯನಿರ್ವಹಿಸುತ್ತದೆ. ಧಾರ್ಮಿಕ ಚಟುವಟಿಕೆಗಳನ್ನು ನಿಯಮಿತವಾಗಿ ನಡೆಸಲಾಗುತ್ತದೆ. ನಿರ್ದಿಷ್ಟ ಸಮಯದಲ್ಲಿ ಸಂದರ್ಶಕರಿಗೆ ಅವಕಾಶವಿದೆ.</v>
      </c>
      <c r="P94" s="10" t="str">
        <f>IFERROR(__xludf.DUMMYFUNCTION("GOOGLETRANSLATE(K94,""en"",""ml"")"),"ശൃംഗേരി ശങ്കരമഠം ശൃംഗേരി ആത്മീയ പാരമ്പര്യവുമായി ബന്ധപ്പെട്ടിരിക്കുന്നു. ആരാധനയ്ക്കും മാർഗനിർദേശത്തിനുമുള്ള ഒരു സ്ഥലമായി ഇത് പ്രവർത്തിക്കുന്നു. മതപരമായ പ്രവർത്തനങ്ങൾ പതിവായി നടക്കുന്നു. പ്രത്യേക സമയങ്ങളിൽ സന്ദർശകരെ അനുവദിച്ചിരിക്കുന്നു.")</f>
        <v>ശൃംഗേരി ശങ്കരമഠം ശൃംഗേരി ആത്മീയ പാരമ്പര്യവുമായി ബന്ധപ്പെട്ടിരിക്കുന്നു. ആരാധനയ്ക്കും മാർഗനിർദേശത്തിനുമുള്ള ഒരു സ്ഥലമായി ഇത് പ്രവർത്തിക്കുന്നു. മതപരമായ പ്രവർത്തനങ്ങൾ പതിവായി നടക്കുന്നു. പ്രത്യേക സമയങ്ങളിൽ സന്ദർശകരെ അനുവദിച്ചിരിക്കുന്നു.</v>
      </c>
    </row>
    <row r="95">
      <c r="A95" s="6">
        <f t="shared" si="1"/>
        <v>94</v>
      </c>
      <c r="B95" s="6" t="s">
        <v>324</v>
      </c>
      <c r="C95" s="6">
        <v>16.0782902</v>
      </c>
      <c r="D95" s="6">
        <v>78.8614469</v>
      </c>
      <c r="E95" s="8" t="s">
        <v>310</v>
      </c>
      <c r="F95" s="10" t="str">
        <f>IFERROR(__xludf.DUMMYFUNCTION("GOOGLETRANSLATE(B95,""en"",""te"")"),"సారంగధర మఠం")</f>
        <v>సారంగధర మఠం</v>
      </c>
      <c r="G95" s="10" t="str">
        <f>IFERROR(__xludf.DUMMYFUNCTION("GOOGLETRANSLATE(B95,""en"",""hi"")"),"सारंगधरा मठम")</f>
        <v>सारंगधरा मठम</v>
      </c>
      <c r="H95" s="10" t="str">
        <f>IFERROR(__xludf.DUMMYFUNCTION("GOOGLETRANSLATE(B95,""en"",""ta"")"),"சாரங்கதர மடம்")</f>
        <v>சாரங்கதர மடம்</v>
      </c>
      <c r="I95" s="10" t="str">
        <f>IFERROR(__xludf.DUMMYFUNCTION("GOOGLETRANSLATE(B95,""en"",""kn"")"),"ಸಾರಂಗಧರ ಮಠಂ")</f>
        <v>ಸಾರಂಗಧರ ಮಠಂ</v>
      </c>
      <c r="J95" s="10" t="str">
        <f>IFERROR(__xludf.DUMMYFUNCTION("GOOGLETRANSLATE(B95,""en"",""ml"")"),"സാരംഗാധര മഠം")</f>
        <v>സാരംഗാധര മഠം</v>
      </c>
      <c r="K95" s="12" t="s">
        <v>325</v>
      </c>
      <c r="L95" s="10" t="str">
        <f>IFERROR(__xludf.DUMMYFUNCTION("GOOGLETRANSLATE(K95,""en"",""te"")"),"సారంగధర మఠం ఒక సాంప్రదాయ మత మఠం. ఇది భక్తులకు ఆధ్యాత్మిక అభ్యాసాలు మరియు ఆశ్రయం కల్పిస్తుంది. ఈ ప్రాంగణాన్ని మతపరమైన కార్యకలాపాలకు ఉపయోగిస్తారు. ప్రవేశం మఠం నియమాలను అనుసరిస్తుంది.")</f>
        <v>సారంగధర మఠం ఒక సాంప్రదాయ మత మఠం. ఇది భక్తులకు ఆధ్యాత్మిక అభ్యాసాలు మరియు ఆశ్రయం కల్పిస్తుంది. ఈ ప్రాంగణాన్ని మతపరమైన కార్యకలాపాలకు ఉపయోగిస్తారు. ప్రవేశం మఠం నియమాలను అనుసరిస్తుంది.</v>
      </c>
      <c r="M95" s="10" t="str">
        <f>IFERROR(__xludf.DUMMYFUNCTION("GOOGLETRANSLATE(K95,""en"",""hi"")"),"सारंगधरा मठम एक पारंपरिक धार्मिक मठ है। यह आध्यात्मिक साधनाओं का समर्थन करता है और भक्तों को आश्रय प्रदान करता है। परिसर का उपयोग धार्मिक गतिविधियों के लिए किया जाता है। प्रवेश के लिए मठम के नियमों का पालन करना आवश्यक है।")</f>
        <v>सारंगधरा मठम एक पारंपरिक धार्मिक मठ है। यह आध्यात्मिक साधनाओं का समर्थन करता है और भक्तों को आश्रय प्रदान करता है। परिसर का उपयोग धार्मिक गतिविधियों के लिए किया जाता है। प्रवेश के लिए मठम के नियमों का पालन करना आवश्यक है।</v>
      </c>
      <c r="N95" s="10" t="str">
        <f>IFERROR(__xludf.DUMMYFUNCTION("GOOGLETRANSLATE(K95,""en"",""ta"")"),"சாரங்கதர மடம் ஒரு பாரம்பரிய மத மடம். இது பக்தர்களுக்கு ஆன்மீக நடைமுறைகள் மற்றும் தங்குமிடத்தை ஆதரிக்கிறது. இந்த வளாகம் மத நடவடிக்கைகளுக்குப் பயன்படுத்தப்படுகிறது. நுழைவு மடத்தின் விதிகளைப் பின்பற்றுகிறது.")</f>
        <v>சாரங்கதர மடம் ஒரு பாரம்பரிய மத மடம். இது பக்தர்களுக்கு ஆன்மீக நடைமுறைகள் மற்றும் தங்குமிடத்தை ஆதரிக்கிறது. இந்த வளாகம் மத நடவடிக்கைகளுக்குப் பயன்படுத்தப்படுகிறது. நுழைவு மடத்தின் விதிகளைப் பின்பற்றுகிறது.</v>
      </c>
      <c r="O95" s="10" t="str">
        <f>IFERROR(__xludf.DUMMYFUNCTION("GOOGLETRANSLATE(K95,""en"",""kn"")"),"ಸಾರಂಗಧರ ಮಠವು ಒಂದು ಸಾಂಪ್ರದಾಯಿಕ ಧಾರ್ಮಿಕ ಮಠವಾಗಿದೆ. ಇದು ಭಕ್ತರಿಗೆ ಆಧ್ಯಾತ್ಮಿಕ ಅಭ್ಯಾಸಗಳು ಮತ್ತು ಆಶ್ರಯವನ್ನು ಬೆಂಬಲಿಸುತ್ತದೆ. ಆವರಣವನ್ನು ಧಾರ್ಮಿಕ ಚಟುವಟಿಕೆಗಳಿಗೆ ಬಳಸಲಾಗುತ್ತದೆ. ಪ್ರವೇಶವು ಮಠದ ನಿಯಮಗಳನ್ನು ಅನುಸರಿಸುತ್ತದೆ.")</f>
        <v>ಸಾರಂಗಧರ ಮಠವು ಒಂದು ಸಾಂಪ್ರದಾಯಿಕ ಧಾರ್ಮಿಕ ಮಠವಾಗಿದೆ. ಇದು ಭಕ್ತರಿಗೆ ಆಧ್ಯಾತ್ಮಿಕ ಅಭ್ಯಾಸಗಳು ಮತ್ತು ಆಶ್ರಯವನ್ನು ಬೆಂಬಲಿಸುತ್ತದೆ. ಆವರಣವನ್ನು ಧಾರ್ಮಿಕ ಚಟುವಟಿಕೆಗಳಿಗೆ ಬಳಸಲಾಗುತ್ತದೆ. ಪ್ರವೇಶವು ಮಠದ ನಿಯಮಗಳನ್ನು ಅನುಸರಿಸುತ್ತದೆ.</v>
      </c>
      <c r="P95" s="10" t="str">
        <f>IFERROR(__xludf.DUMMYFUNCTION("GOOGLETRANSLATE(K95,""en"",""ml"")"),"സാരംഗാധര മഠം ഒരു പരമ്പരാഗത മത മഠമാണ്. ഇത് ഭക്തർക്ക് ആത്മീയ ആചാരങ്ങളും അഭയവും നൽകുന്നു. മതപരമായ പ്രവർത്തനങ്ങൾക്കായി പരിസരം ഉപയോഗിക്കുന്നു. പ്രവേശനം മഠത്തിന്റെ നിയമങ്ങൾ പാലിക്കുന്നു.")</f>
        <v>സാരംഗാധര മഠം ഒരു പരമ്പരാഗത മത മഠമാണ്. ഇത് ഭക്തർക്ക് ആത്മീയ ആചാരങ്ങളും അഭയവും നൽകുന്നു. മതപരമായ പ്രവർത്തനങ്ങൾക്കായി പരിസരം ഉപയോഗിക്കുന്നു. പ്രവേശനം മഠത്തിന്റെ നിയമങ്ങൾ പാലിക്കുന്നു.</v>
      </c>
    </row>
    <row r="96">
      <c r="A96" s="6">
        <f t="shared" si="1"/>
        <v>95</v>
      </c>
      <c r="B96" s="6" t="s">
        <v>326</v>
      </c>
      <c r="C96" s="6">
        <v>16.0760557</v>
      </c>
      <c r="D96" s="6">
        <v>78.8672149</v>
      </c>
      <c r="E96" s="8" t="s">
        <v>310</v>
      </c>
      <c r="F96" s="8" t="s">
        <v>327</v>
      </c>
      <c r="G96" s="8" t="s">
        <v>328</v>
      </c>
      <c r="H96" s="8" t="s">
        <v>329</v>
      </c>
      <c r="I96" s="8" t="s">
        <v>330</v>
      </c>
      <c r="J96" s="8" t="s">
        <v>331</v>
      </c>
      <c r="K96" s="12" t="s">
        <v>332</v>
      </c>
      <c r="L96" s="10" t="str">
        <f>IFERROR(__xludf.DUMMYFUNCTION("GOOGLETRANSLATE(K96,""en"",""te"")"),"ఘంట మఠం శ్రీశైలంలోని ఒక చిన్న మతపరమైన సంస్థ. ఇది ఆధ్యాత్మిక ఆచారాలతో ముడిపడి ఉంది. వాతావరణం నిశ్శబ్దంగా మరియు క్రమశిక్షణతో ఉంటుంది. సందర్శకులు అనుమతించబడిన సమయాల్లో ప్రవేశించవచ్చు.")</f>
        <v>ఘంట మఠం శ్రీశైలంలోని ఒక చిన్న మతపరమైన సంస్థ. ఇది ఆధ్యాత్మిక ఆచారాలతో ముడిపడి ఉంది. వాతావరణం నిశ్శబ్దంగా మరియు క్రమశిక్షణతో ఉంటుంది. సందర్శకులు అనుమతించబడిన సమయాల్లో ప్రవేశించవచ్చు.</v>
      </c>
      <c r="M96" s="10" t="str">
        <f>IFERROR(__xludf.DUMMYFUNCTION("GOOGLETRANSLATE(K96,""en"",""hi"")"),"श्रीशैलम में स्थित घंटा मठम एक छोटा धार्मिक स्थल है। यह आध्यात्मिक अनुष्ठानों से जुड़ा हुआ है। यहाँ का वातावरण शांत और अनुशासित है। आगंतुक निर्धारित समय के दौरान ही प्रवेश कर सकते हैं।")</f>
        <v>श्रीशैलम में स्थित घंटा मठम एक छोटा धार्मिक स्थल है। यह आध्यात्मिक अनुष्ठानों से जुड़ा हुआ है। यहाँ का वातावरण शांत और अनुशासित है। आगंतुक निर्धारित समय के दौरान ही प्रवेश कर सकते हैं।</v>
      </c>
      <c r="N96" s="10" t="str">
        <f>IFERROR(__xludf.DUMMYFUNCTION("GOOGLETRANSLATE(K96,""en"",""ta"")"),"கண்ட மடம் என்பது ஸ்ரீசைலத்தில் உள்ள ஒரு சிறிய மத ஸ்தாபனம். இது ஆன்மீக அனுசரிப்புகளுடன் தொடர்புடையது. சூழல் அமைதியாகவும் ஒழுக்கமாகவும் இருக்கிறது. அனுமதிக்கப்பட்ட நேரங்களில் பார்வையாளர்கள் உள்ளே நுழையலாம்.")</f>
        <v>கண்ட மடம் என்பது ஸ்ரீசைலத்தில் உள்ள ஒரு சிறிய மத ஸ்தாபனம். இது ஆன்மீக அனுசரிப்புகளுடன் தொடர்புடையது. சூழல் அமைதியாகவும் ஒழுக்கமாகவும் இருக்கிறது. அனுமதிக்கப்பட்ட நேரங்களில் பார்வையாளர்கள் உள்ளே நுழையலாம்.</v>
      </c>
      <c r="O96" s="10" t="str">
        <f>IFERROR(__xludf.DUMMYFUNCTION("GOOGLETRANSLATE(K96,""en"",""kn"")"),"ಘಂಟಾ ಮಠವು ಶ್ರೀಶೈಲಂನಲ್ಲಿರುವ ಒಂದು ಸಣ್ಣ ಧಾರ್ಮಿಕ ಸಂಸ್ಥೆಯಾಗಿದೆ. ಇದು ಆಧ್ಯಾತ್ಮಿಕ ಆಚರಣೆಗಳೊಂದಿಗೆ ಸಂಬಂಧ ಹೊಂದಿದೆ. ಪರಿಸರವು ಶಾಂತ ಮತ್ತು ಶಿಸ್ತುಬದ್ಧವಾಗಿದೆ. ಭೇಟಿ ನೀಡುವವರು ಅನುಮತಿಸಲಾದ ಸಮಯದಲ್ಲಿ ಪ್ರವೇಶಿಸಬಹುದು.")</f>
        <v>ಘಂಟಾ ಮಠವು ಶ್ರೀಶೈಲಂನಲ್ಲಿರುವ ಒಂದು ಸಣ್ಣ ಧಾರ್ಮಿಕ ಸಂಸ್ಥೆಯಾಗಿದೆ. ಇದು ಆಧ್ಯಾತ್ಮಿಕ ಆಚರಣೆಗಳೊಂದಿಗೆ ಸಂಬಂಧ ಹೊಂದಿದೆ. ಪರಿಸರವು ಶಾಂತ ಮತ್ತು ಶಿಸ್ತುಬದ್ಧವಾಗಿದೆ. ಭೇಟಿ ನೀಡುವವರು ಅನುಮತಿಸಲಾದ ಸಮಯದಲ್ಲಿ ಪ್ರವೇಶಿಸಬಹುದು.</v>
      </c>
      <c r="P96" s="10" t="str">
        <f>IFERROR(__xludf.DUMMYFUNCTION("GOOGLETRANSLATE(K96,""en"",""ml"")"),"ശ്രീശൈലത്തിലെ ഒരു ചെറിയ മതസ്ഥാപനമാണ് ഘണ്ട മഠം. ഇത് ആത്മീയ ആചാരങ്ങളുമായി ബന്ധപ്പെട്ടിരിക്കുന്നു. ശാന്തവും അച്ചടക്കമുള്ളതുമായ അന്തരീക്ഷം. അനുവദനീയമായ സമയങ്ങളിൽ സന്ദർശകർക്ക് പ്രവേശിക്കാം.")</f>
        <v>ശ്രീശൈലത്തിലെ ഒരു ചെറിയ മതസ്ഥാപനമാണ് ഘണ്ട മഠം. ഇത് ആത്മീയ ആചാരങ്ങളുമായി ബന്ധപ്പെട്ടിരിക്കുന്നു. ശാന്തവും അച്ചടക്കമുള്ളതുമായ അന്തരീക്ഷം. അനുവദനീയമായ സമയങ്ങളിൽ സന്ദർശകർക്ക് പ്രവേശിക്കാം.</v>
      </c>
    </row>
    <row r="97">
      <c r="A97" s="6">
        <f t="shared" si="1"/>
        <v>96</v>
      </c>
      <c r="B97" s="6" t="s">
        <v>333</v>
      </c>
      <c r="C97" s="6">
        <v>16.0763081</v>
      </c>
      <c r="D97" s="6">
        <v>78.8638897</v>
      </c>
      <c r="E97" s="8" t="s">
        <v>310</v>
      </c>
      <c r="F97" s="8" t="s">
        <v>334</v>
      </c>
      <c r="G97" s="8" t="s">
        <v>335</v>
      </c>
      <c r="H97" s="8" t="s">
        <v>336</v>
      </c>
      <c r="I97" s="8" t="s">
        <v>337</v>
      </c>
      <c r="J97" s="8" t="s">
        <v>338</v>
      </c>
      <c r="K97" s="12" t="s">
        <v>339</v>
      </c>
      <c r="L97" s="10" t="str">
        <f>IFERROR(__xludf.DUMMYFUNCTION("GOOGLETRANSLATE(K97,""en"",""te"")"),"విభూతి మఠం మతపరమైన మరియు ఆధ్యాత్మిక అభ్యాసాలకు ప్రసిద్ధి చెందింది. ఇది ఈ ప్రాంతాన్ని సందర్శించే భక్తులకు సేవలు అందిస్తుంది. కార్యకలాపాలు సాంప్రదాయ ఆచారాలను అనుసరిస్తాయి. ప్రవేశాన్ని నియంత్రించవచ్చు.")</f>
        <v>విభూతి మఠం మతపరమైన మరియు ఆధ్యాత్మిక అభ్యాసాలకు ప్రసిద్ధి చెందింది. ఇది ఈ ప్రాంతాన్ని సందర్శించే భక్తులకు సేవలు అందిస్తుంది. కార్యకలాపాలు సాంప్రదాయ ఆచారాలను అనుసరిస్తాయి. ప్రవేశాన్ని నియంత్రించవచ్చు.</v>
      </c>
      <c r="M97" s="10" t="str">
        <f>IFERROR(__xludf.DUMMYFUNCTION("GOOGLETRANSLATE(K97,""en"",""hi"")"),"विभूति मठ धार्मिक और आध्यात्मिक अनुष्ठानों के लिए प्रसिद्ध है। यह क्षेत्र में आने वाले श्रद्धालुओं की सेवा करता है। यहाँ की गतिविधियाँ पारंपरिक रीति-रिवाजों के अनुसार होती हैं। प्रवेश प्रतिबंधित हो सकता है।")</f>
        <v>विभूति मठ धार्मिक और आध्यात्मिक अनुष्ठानों के लिए प्रसिद्ध है। यह क्षेत्र में आने वाले श्रद्धालुओं की सेवा करता है। यहाँ की गतिविधियाँ पारंपरिक रीति-रिवाजों के अनुसार होती हैं। प्रवेश प्रतिबंधित हो सकता है।</v>
      </c>
      <c r="N97" s="10" t="str">
        <f>IFERROR(__xludf.DUMMYFUNCTION("GOOGLETRANSLATE(K97,""en"",""ta"")"),"விபூதி மடம் மத மற்றும் ஆன்மீக நடைமுறைகளுக்கு பெயர் பெற்றது. இது இப்பகுதிக்கு வருகை தரும் பக்தர்களுக்கு சேவை செய்கிறது. நடவடிக்கைகள் பாரம்பரிய பழக்கவழக்கங்களைப் பின்பற்றுகின்றன. அணுகல் கட்டுப்படுத்தப்படலாம்.")</f>
        <v>விபூதி மடம் மத மற்றும் ஆன்மீக நடைமுறைகளுக்கு பெயர் பெற்றது. இது இப்பகுதிக்கு வருகை தரும் பக்தர்களுக்கு சேவை செய்கிறது. நடவடிக்கைகள் பாரம்பரிய பழக்கவழக்கங்களைப் பின்பற்றுகின்றன. அணுகல் கட்டுப்படுத்தப்படலாம்.</v>
      </c>
      <c r="O97" s="10" t="str">
        <f>IFERROR(__xludf.DUMMYFUNCTION("GOOGLETRANSLATE(K97,""en"",""kn"")"),"ವಿಭೂತಿ ಮಠವು ಧಾರ್ಮಿಕ ಮತ್ತು ಆಧ್ಯಾತ್ಮಿಕ ಆಚರಣೆಗಳಿಗೆ ಹೆಸರುವಾಸಿಯಾಗಿದೆ. ಇದು ಈ ಪ್ರದೇಶಕ್ಕೆ ಭೇಟಿ ನೀಡುವ ಭಕ್ತರಿಗೆ ಸೇವೆ ಸಲ್ಲಿಸುತ್ತದೆ. ಚಟುವಟಿಕೆಗಳು ಸಾಂಪ್ರದಾಯಿಕ ಪದ್ಧತಿಗಳನ್ನು ಅನುಸರಿಸುತ್ತವೆ. ಪ್ರವೇಶವನ್ನು ನಿಯಂತ್ರಿಸಬಹುದು.")</f>
        <v>ವಿಭೂತಿ ಮಠವು ಧಾರ್ಮಿಕ ಮತ್ತು ಆಧ್ಯಾತ್ಮಿಕ ಆಚರಣೆಗಳಿಗೆ ಹೆಸರುವಾಸಿಯಾಗಿದೆ. ಇದು ಈ ಪ್ರದೇಶಕ್ಕೆ ಭೇಟಿ ನೀಡುವ ಭಕ್ತರಿಗೆ ಸೇವೆ ಸಲ್ಲಿಸುತ್ತದೆ. ಚಟುವಟಿಕೆಗಳು ಸಾಂಪ್ರದಾಯಿಕ ಪದ್ಧತಿಗಳನ್ನು ಅನುಸರಿಸುತ್ತವೆ. ಪ್ರವೇಶವನ್ನು ನಿಯಂತ್ರಿಸಬಹುದು.</v>
      </c>
      <c r="P97" s="10" t="str">
        <f>IFERROR(__xludf.DUMMYFUNCTION("GOOGLETRANSLATE(K97,""en"",""ml"")"),"വിഭൂതി മഠം മതപരവും ആത്മീയവുമായ ആചാരങ്ങൾക്ക് പേരുകേട്ടതാണ്. പ്രദേശം സന്ദർശിക്കുന്ന ഭക്തർക്ക് ഇത് സേവനം നൽകുന്നു. പരമ്പരാഗത ആചാരങ്ങൾ പിന്തുടരുന്ന പ്രവർത്തനങ്ങൾ. പ്രവേശനം നിയന്ത്രിക്കപ്പെട്ടേക്കാം.")</f>
        <v>വിഭൂതി മഠം മതപരവും ആത്മീയവുമായ ആചാരങ്ങൾക്ക് പേരുകേട്ടതാണ്. പ്രദേശം സന്ദർശിക്കുന്ന ഭക്തർക്ക് ഇത് സേവനം നൽകുന്നു. പരമ്പരാഗത ആചാരങ്ങൾ പിന്തുടരുന്ന പ്രവർത്തനങ്ങൾ. പ്രവേശനം നിയന്ത്രിക്കപ്പെട്ടേക്കാം.</v>
      </c>
    </row>
    <row r="98">
      <c r="A98" s="6">
        <f t="shared" si="1"/>
        <v>97</v>
      </c>
      <c r="B98" s="6" t="s">
        <v>340</v>
      </c>
      <c r="C98" s="6">
        <v>16.0763132</v>
      </c>
      <c r="D98" s="6">
        <v>78.8663783</v>
      </c>
      <c r="E98" s="8" t="s">
        <v>310</v>
      </c>
      <c r="F98" s="10" t="str">
        <f>IFERROR(__xludf.DUMMYFUNCTION("GOOGLETRANSLATE(B98,""en"",""te"")"),"భీమ శంకర మఠం")</f>
        <v>భీమ శంకర మఠం</v>
      </c>
      <c r="G98" s="8" t="s">
        <v>341</v>
      </c>
      <c r="H98" s="8" t="s">
        <v>342</v>
      </c>
      <c r="I98" s="8" t="s">
        <v>343</v>
      </c>
      <c r="J98" s="8" t="s">
        <v>344</v>
      </c>
      <c r="K98" s="12" t="s">
        <v>345</v>
      </c>
      <c r="L98" s="10" t="str">
        <f>IFERROR(__xludf.DUMMYFUNCTION("GOOGLETRANSLATE(K98,""en"",""te"")"),"భీమ శంకర మఠం శైవ సంప్రదాయాలతో ముడిపడి ఉన్న ఒక మత కేంద్రం. ఇది పూజ మరియు విశ్రాంతి కోసం స్థలాన్ని అందిస్తుంది. మఠం ఒక నిర్దిష్ట దినచర్యను అనుసరిస్తుంది. సందర్శకులు మార్గదర్శకాలను పాటించాలి.")</f>
        <v>భీమ శంకర మఠం శైవ సంప్రదాయాలతో ముడిపడి ఉన్న ఒక మత కేంద్రం. ఇది పూజ మరియు విశ్రాంతి కోసం స్థలాన్ని అందిస్తుంది. మఠం ఒక నిర్దిష్ట దినచర్యను అనుసరిస్తుంది. సందర్శకులు మార్గదర్శకాలను పాటించాలి.</v>
      </c>
      <c r="M98" s="10" t="str">
        <f>IFERROR(__xludf.DUMMYFUNCTION("GOOGLETRANSLATE(K98,""en"",""hi"")"),"भीमा शंकर मठम शैव परंपराओं से जुड़ा एक धार्मिक केंद्र है। यह पूजा और विश्राम के लिए स्थान प्रदान करता है। मठ में एक निश्चित दैनिक दिनचर्या का पालन किया जाता है। आगंतुकों को दिशानिर्देशों का पालन करना आवश्यक है।")</f>
        <v>भीमा शंकर मठम शैव परंपराओं से जुड़ा एक धार्मिक केंद्र है। यह पूजा और विश्राम के लिए स्थान प्रदान करता है। मठ में एक निश्चित दैनिक दिनचर्या का पालन किया जाता है। आगंतुकों को दिशानिर्देशों का पालन करना आवश्यक है।</v>
      </c>
      <c r="N98" s="10" t="str">
        <f>IFERROR(__xludf.DUMMYFUNCTION("GOOGLETRANSLATE(K98,""en"",""ta"")"),"பீம சங்கர மடம் என்பது சைவ மரபுகளுடன் தொடர்புடைய ஒரு மத மையமாகும். இது வழிபாடு மற்றும் ஓய்வெடுப்பதற்கான இடத்தை வழங்குகிறது. மடம் ஒரு நிலையான தினசரி வழக்கத்தைப் பின்பற்றுகிறது. பார்வையாளர்கள் வழிகாட்டுதல்களைப் பின்பற்ற வேண்டும்.")</f>
        <v>பீம சங்கர மடம் என்பது சைவ மரபுகளுடன் தொடர்புடைய ஒரு மத மையமாகும். இது வழிபாடு மற்றும் ஓய்வெடுப்பதற்கான இடத்தை வழங்குகிறது. மடம் ஒரு நிலையான தினசரி வழக்கத்தைப் பின்பற்றுகிறது. பார்வையாளர்கள் வழிகாட்டுதல்களைப் பின்பற்ற வேண்டும்.</v>
      </c>
      <c r="O98" s="10" t="str">
        <f>IFERROR(__xludf.DUMMYFUNCTION("GOOGLETRANSLATE(K98,""en"",""kn"")"),"ಭೀಮಾ ಶಂಕರ ಮಠವು ಶೈವ ಸಂಪ್ರದಾಯಗಳಿಗೆ ಸಂಬಂಧಿಸಿದ ಧಾರ್ಮಿಕ ಕೇಂದ್ರವಾಗಿದೆ. ಇದು ಪೂಜೆ ಮತ್ತು ವಿಶ್ರಾಂತಿಗೆ ಸ್ಥಳಾವಕಾಶವನ್ನು ಒದಗಿಸುತ್ತದೆ. ಮಠವು ನಿಗದಿತ ದೈನಂದಿನ ದಿನಚರಿಯನ್ನು ಅನುಸರಿಸುತ್ತದೆ. ಸಂದರ್ಶಕರು ಮಾರ್ಗಸೂಚಿಗಳನ್ನು ಪಾಲಿಸಬೇಕು.")</f>
        <v>ಭೀಮಾ ಶಂಕರ ಮಠವು ಶೈವ ಸಂಪ್ರದಾಯಗಳಿಗೆ ಸಂಬಂಧಿಸಿದ ಧಾರ್ಮಿಕ ಕೇಂದ್ರವಾಗಿದೆ. ಇದು ಪೂಜೆ ಮತ್ತು ವಿಶ್ರಾಂತಿಗೆ ಸ್ಥಳಾವಕಾಶವನ್ನು ಒದಗಿಸುತ್ತದೆ. ಮಠವು ನಿಗದಿತ ದೈನಂದಿನ ದಿನಚರಿಯನ್ನು ಅನುಸರಿಸುತ್ತದೆ. ಸಂದರ್ಶಕರು ಮಾರ್ಗಸೂಚಿಗಳನ್ನು ಪಾಲಿಸಬೇಕು.</v>
      </c>
      <c r="P98" s="10" t="str">
        <f>IFERROR(__xludf.DUMMYFUNCTION("GOOGLETRANSLATE(K98,""en"",""ml"")"),"ഭീമ ശങ്കരമഠം ശൈവ പാരമ്പര്യങ്ങളുമായി ബന്ധപ്പെട്ട ഒരു മതകേന്ദ്രമാണ്. ആരാധനയ്ക്കും വിശ്രമത്തിനും ഇത് ഇടം നൽകുന്നു. മഠത്തിൽ ഒരു നിശ്ചിത ദിനചര്യയുണ്ട്. സന്ദർശകർ മാർഗ്ഗനിർദ്ദേശങ്ങൾ പാലിക്കണം.")</f>
        <v>ഭീമ ശങ്കരമഠം ശൈവ പാരമ്പര്യങ്ങളുമായി ബന്ധപ്പെട്ട ഒരു മതകേന്ദ്രമാണ്. ആരാധനയ്ക്കും വിശ്രമത്തിനും ഇത് ഇടം നൽകുന്നു. മഠത്തിൽ ഒരു നിശ്ചിത ദിനചര്യയുണ്ട്. സന്ദർശകർ മാർഗ്ഗനിർദ്ദേശങ്ങൾ പാലിക്കണം.</v>
      </c>
    </row>
    <row r="99">
      <c r="A99" s="6">
        <f t="shared" si="1"/>
        <v>98</v>
      </c>
      <c r="B99" s="6" t="s">
        <v>346</v>
      </c>
      <c r="C99" s="6">
        <v>16.0718924</v>
      </c>
      <c r="D99" s="6">
        <v>78.8683904</v>
      </c>
      <c r="E99" s="8" t="s">
        <v>310</v>
      </c>
      <c r="F99" s="8" t="s">
        <v>347</v>
      </c>
      <c r="G99" s="8" t="s">
        <v>348</v>
      </c>
      <c r="H99" s="8" t="s">
        <v>349</v>
      </c>
      <c r="I99" s="8" t="s">
        <v>350</v>
      </c>
      <c r="J99" s="8" t="s">
        <v>351</v>
      </c>
      <c r="K99" s="12" t="s">
        <v>352</v>
      </c>
      <c r="L99" s="10" t="str">
        <f>IFERROR(__xludf.DUMMYFUNCTION("GOOGLETRANSLATE(K99,""en"",""te"")"),"ఈ మఠం ఆధ్యాత్మిక అభ్యాసానికి అంకితమైన మత సంస్థ. ఇది ఆచారాలు మరియు సాంప్రదాయ బోధనలకు మద్దతు ఇస్తుంది. ప్రాంగణం భక్తుల కోసం నిర్వహించబడుతుంది. ప్రవేశం నిబంధనలకు లోబడి ఉంటుంది.")</f>
        <v>ఈ మఠం ఆధ్యాత్మిక అభ్యాసానికి అంకితమైన మత సంస్థ. ఇది ఆచారాలు మరియు సాంప్రదాయ బోధనలకు మద్దతు ఇస్తుంది. ప్రాంగణం భక్తుల కోసం నిర్వహించబడుతుంది. ప్రవేశం నిబంధనలకు లోబడి ఉంటుంది.</v>
      </c>
      <c r="M99" s="10" t="str">
        <f>IFERROR(__xludf.DUMMYFUNCTION("GOOGLETRANSLATE(K99,""en"",""hi"")"),"यह मठ आध्यात्मिक शिक्षा के लिए समर्पित एक धार्मिक संस्थान है। यह अनुष्ठानों और पारंपरिक शिक्षाओं का समर्थन करता है। परिसर को भक्तों के लिए सुव्यवस्थित रखा गया है। प्रवेश नियमों के अधीन है।")</f>
        <v>यह मठ आध्यात्मिक शिक्षा के लिए समर्पित एक धार्मिक संस्थान है। यह अनुष्ठानों और पारंपरिक शिक्षाओं का समर्थन करता है। परिसर को भक्तों के लिए सुव्यवस्थित रखा गया है। प्रवेश नियमों के अधीन है।</v>
      </c>
      <c r="N99" s="10" t="str">
        <f>IFERROR(__xludf.DUMMYFUNCTION("GOOGLETRANSLATE(K99,""en"",""ta"")"),"இந்த மடம் ஆன்மீகக் கற்றலுக்காக அர்ப்பணிக்கப்பட்ட ஒரு மத நிறுவனம். இது சடங்குகள் மற்றும் பாரம்பரிய போதனைகளை ஆதரிக்கிறது. வளாகம் பக்தர்களுக்காகப் பராமரிக்கப்படுகிறது. நுழைவு விதிகளுக்கு உட்பட்டது.")</f>
        <v>இந்த மடம் ஆன்மீகக் கற்றலுக்காக அர்ப்பணிக்கப்பட்ட ஒரு மத நிறுவனம். இது சடங்குகள் மற்றும் பாரம்பரிய போதனைகளை ஆதரிக்கிறது. வளாகம் பக்தர்களுக்காகப் பராமரிக்கப்படுகிறது. நுழைவு விதிகளுக்கு உட்பட்டது.</v>
      </c>
      <c r="O99" s="10" t="str">
        <f>IFERROR(__xludf.DUMMYFUNCTION("GOOGLETRANSLATE(K99,""en"",""kn"")"),"ಈ ಮಠವು ಆಧ್ಯಾತ್ಮಿಕ ಕಲಿಕೆಗೆ ಮೀಸಲಾಗಿರುವ ಧಾರ್ಮಿಕ ಸಂಸ್ಥೆಯಾಗಿದೆ. ಇದು ಆಚರಣೆಗಳು ಮತ್ತು ಸಾಂಪ್ರದಾಯಿಕ ಬೋಧನೆಗಳನ್ನು ಬೆಂಬಲಿಸುತ್ತದೆ. ಆವರಣವನ್ನು ಭಕ್ತರಿಗಾಗಿ ನಿರ್ವಹಿಸಲಾಗುತ್ತದೆ. ಪ್ರವೇಶವು ನಿಯಮಗಳಿಗೆ ಒಳಪಟ್ಟಿರುತ್ತದೆ.")</f>
        <v>ಈ ಮಠವು ಆಧ್ಯಾತ್ಮಿಕ ಕಲಿಕೆಗೆ ಮೀಸಲಾಗಿರುವ ಧಾರ್ಮಿಕ ಸಂಸ್ಥೆಯಾಗಿದೆ. ಇದು ಆಚರಣೆಗಳು ಮತ್ತು ಸಾಂಪ್ರದಾಯಿಕ ಬೋಧನೆಗಳನ್ನು ಬೆಂಬಲಿಸುತ್ತದೆ. ಆವರಣವನ್ನು ಭಕ್ತರಿಗಾಗಿ ನಿರ್ವಹಿಸಲಾಗುತ್ತದೆ. ಪ್ರವೇಶವು ನಿಯಮಗಳಿಗೆ ಒಳಪಟ್ಟಿರುತ್ತದೆ.</v>
      </c>
      <c r="P99" s="10" t="str">
        <f>IFERROR(__xludf.DUMMYFUNCTION("GOOGLETRANSLATE(K99,""en"",""ml"")"),"ഈ മഠം ആത്മീയ പഠനത്തിനായി സമർപ്പിച്ചിരിക്കുന്ന ഒരു മതസ്ഥാപനമാണ്. ഇത് ആചാരങ്ങളെയും പരമ്പരാഗത പഠിപ്പിക്കലുകളെയും പിന്തുണയ്ക്കുന്നു. ഭക്തർക്കായി പരിസരം പരിപാലിക്കുന്നു. പ്രവേശനം നിയമങ്ങൾക്ക് വിധേയമാണ്.")</f>
        <v>ഈ മഠം ആത്മീയ പഠനത്തിനായി സമർപ്പിച്ചിരിക്കുന്ന ഒരു മതസ്ഥാപനമാണ്. ഇത് ആചാരങ്ങളെയും പരമ്പരാഗത പഠിപ്പിക്കലുകളെയും പിന്തുണയ്ക്കുന്നു. ഭക്തർക്കായി പരിസരം പരിപാലിക്കുന്നു. പ്രവേശനം നിയമങ്ങൾക്ക് വിധേയമാണ്.</v>
      </c>
    </row>
    <row r="100">
      <c r="A100" s="6">
        <f t="shared" si="1"/>
        <v>99</v>
      </c>
      <c r="B100" s="6" t="s">
        <v>353</v>
      </c>
      <c r="C100" s="6">
        <v>16.0808358</v>
      </c>
      <c r="D100" s="6">
        <v>78.8602958</v>
      </c>
      <c r="E100" s="8" t="s">
        <v>310</v>
      </c>
      <c r="F100" s="8" t="s">
        <v>354</v>
      </c>
      <c r="G100" s="8" t="s">
        <v>355</v>
      </c>
      <c r="H100" s="8" t="s">
        <v>356</v>
      </c>
      <c r="I100" s="8" t="s">
        <v>357</v>
      </c>
      <c r="J100" s="8" t="s">
        <v>358</v>
      </c>
      <c r="K100" s="12" t="s">
        <v>359</v>
      </c>
      <c r="L100" s="10" t="str">
        <f>IFERROR(__xludf.DUMMYFUNCTION("GOOGLETRANSLATE(K100,""en"",""te"")"),"విశ్వామిత్ర మఠం ఒక మతపరమైన విశ్రాంతి మరియు ఆరాధన కేంద్రం. ఇది శ్రీశైలం సందర్శించే భక్తులకు మద్దతు ఇస్తుంది. వాతావరణం ప్రశాంతంగా మరియు ఆధ్యాత్మికంగా ఉంటుంది. ప్రవేశం అనుమతించబడిన గంటలకే పరిమితం.")</f>
        <v>విశ్వామిత్ర మఠం ఒక మతపరమైన విశ్రాంతి మరియు ఆరాధన కేంద్రం. ఇది శ్రీశైలం సందర్శించే భక్తులకు మద్దతు ఇస్తుంది. వాతావరణం ప్రశాంతంగా మరియు ఆధ్యాత్మికంగా ఉంటుంది. ప్రవేశం అనుమతించబడిన గంటలకే పరిమితం.</v>
      </c>
      <c r="M100" s="10" t="str">
        <f>IFERROR(__xludf.DUMMYFUNCTION("GOOGLETRANSLATE(K100,""en"",""hi"")"),"विश्वामित्र मठम एक धार्मिक विश्राम और पूजा केंद्र है। यह श्रीशैलम आने वाले श्रद्धालुओं को आश्रय प्रदान करता है। यहाँ का वातावरण शांत और आध्यात्मिक है। प्रवेश केवल निर्धारित समय के दौरान ही सीमित है।")</f>
        <v>विश्वामित्र मठम एक धार्मिक विश्राम और पूजा केंद्र है। यह श्रीशैलम आने वाले श्रद्धालुओं को आश्रय प्रदान करता है। यहाँ का वातावरण शांत और आध्यात्मिक है। प्रवेश केवल निर्धारित समय के दौरान ही सीमित है।</v>
      </c>
      <c r="N100" s="10" t="str">
        <f>IFERROR(__xludf.DUMMYFUNCTION("GOOGLETRANSLATE(K100,""en"",""ta"")"),"விஸ்வாமித்திர மடம் ஒரு மத ஓய்வு மற்றும் வழிபாட்டு மையமாகும். இது ஸ்ரீசைலத்திற்கு வருகை தரும் பக்தர்களை ஆதரிக்கிறது. சூழல் அமைதியாகவும் ஆன்மீக ரீதியாகவும் இருக்கிறது. அனுமதிக்கப்பட்ட நேரத்திற்குள் மட்டுமே நுழைவு அனுமதிக்கப்படுகிறது.")</f>
        <v>விஸ்வாமித்திர மடம் ஒரு மத ஓய்வு மற்றும் வழிபாட்டு மையமாகும். இது ஸ்ரீசைலத்திற்கு வருகை தரும் பக்தர்களை ஆதரிக்கிறது. சூழல் அமைதியாகவும் ஆன்மீக ரீதியாகவும் இருக்கிறது. அனுமதிக்கப்பட்ட நேரத்திற்குள் மட்டுமே நுழைவு அனுமதிக்கப்படுகிறது.</v>
      </c>
      <c r="O100" s="10" t="str">
        <f>IFERROR(__xludf.DUMMYFUNCTION("GOOGLETRANSLATE(K100,""en"",""kn"")"),"ವಿಶ್ವಾಮಿತ್ರ ಮಟ್ಟಂ ಒಂದು ಧಾರ್ಮಿಕ ವಿಶ್ರಾಂತಿ ಮತ್ತು ಪೂಜಾ ಕೇಂದ್ರವಾಗಿದೆ. ಇದು ಶ್ರೀಶೈಲಕ್ಕೆ ಭೇಟಿ ನೀಡುವ ಭಕ್ತರಿಗೆ ಬೆಂಬಲ ನೀಡುತ್ತದೆ. ಇಲ್ಲಿನ ವಾತಾವರಣವು ಶಾಂತ ಮತ್ತು ಆಧ್ಯಾತ್ಮಿಕವಾಗಿದೆ. ಪ್ರವೇಶವು ಅನುಮತಿಸಲಾದ ಸಮಯಗಳಿಗೆ ಸೀಮಿತವಾಗಿದೆ.")</f>
        <v>ವಿಶ್ವಾಮಿತ್ರ ಮಟ್ಟಂ ಒಂದು ಧಾರ್ಮಿಕ ವಿಶ್ರಾಂತಿ ಮತ್ತು ಪೂಜಾ ಕೇಂದ್ರವಾಗಿದೆ. ಇದು ಶ್ರೀಶೈಲಕ್ಕೆ ಭೇಟಿ ನೀಡುವ ಭಕ್ತರಿಗೆ ಬೆಂಬಲ ನೀಡುತ್ತದೆ. ಇಲ್ಲಿನ ವಾತಾವರಣವು ಶಾಂತ ಮತ್ತು ಆಧ್ಯಾತ್ಮಿಕವಾಗಿದೆ. ಪ್ರವೇಶವು ಅನುಮತಿಸಲಾದ ಸಮಯಗಳಿಗೆ ಸೀಮಿತವಾಗಿದೆ.</v>
      </c>
      <c r="P100" s="10" t="str">
        <f>IFERROR(__xludf.DUMMYFUNCTION("GOOGLETRANSLATE(K100,""en"",""ml"")"),"വിശ്വാമിത്ര മഠം ഒരു മതപരമായ വിശ്രമ കേന്ദ്രവും ആരാധനാ കേന്ദ്രവുമാണ്. ശ്രീശൈലം സന്ദർശിക്കുന്ന ഭക്തരെ ഇത് പിന്തുണയ്ക്കുന്നു. ശാന്തവും ആത്മീയവുമായ അന്തരീക്ഷമാണ് ഇവിടെയുള്ളത്. അനുവദനീയമായ സമയങ്ങളിൽ മാത്രമേ പ്രവേശനമുള്ളൂ.")</f>
        <v>വിശ്വാമിത്ര മഠം ഒരു മതപരമായ വിശ്രമ കേന്ദ്രവും ആരാധനാ കേന്ദ്രവുമാണ്. ശ്രീശൈലം സന്ദർശിക്കുന്ന ഭക്തരെ ഇത് പിന്തുണയ്ക്കുന്നു. ശാന്തവും ആത്മീയവുമായ അന്തരീക്ഷമാണ് ഇവിടെയുള്ളത്. അനുവദനീയമായ സമയങ്ങളിൽ മാത്രമേ പ്രവേശനമുള്ളൂ.</v>
      </c>
    </row>
    <row r="101">
      <c r="A101" s="6">
        <f t="shared" si="1"/>
        <v>100</v>
      </c>
      <c r="B101" s="6" t="s">
        <v>360</v>
      </c>
      <c r="C101" s="6">
        <v>16.0777929</v>
      </c>
      <c r="D101" s="6">
        <v>78.86264</v>
      </c>
      <c r="E101" s="8" t="s">
        <v>310</v>
      </c>
      <c r="F101" s="8" t="s">
        <v>361</v>
      </c>
      <c r="G101" s="8" t="s">
        <v>362</v>
      </c>
      <c r="H101" s="8" t="s">
        <v>363</v>
      </c>
      <c r="I101" s="8" t="s">
        <v>364</v>
      </c>
      <c r="J101" s="8" t="s">
        <v>365</v>
      </c>
      <c r="K101" s="12" t="s">
        <v>366</v>
      </c>
      <c r="L101" s="10" t="str">
        <f>IFERROR(__xludf.DUMMYFUNCTION("GOOGLETRANSLATE(K101,""en"",""te"")"),"కాలభైరవ మఠం అనేది శైవ ఆరాధనతో ముడిపడి ఉన్న ఒక మతపరమైన మఠం. దీనిని ప్రార్థనలు మరియు ఆచారాలకు ఉపయోగిస్తారు. ప్రాంగణాన్ని సంరక్షకులు నిర్వహిస్తారు. సందర్శకులు ఆలయ ఆచారాలను పాటించాలి.")</f>
        <v>కాలభైరవ మఠం అనేది శైవ ఆరాధనతో ముడిపడి ఉన్న ఒక మతపరమైన మఠం. దీనిని ప్రార్థనలు మరియు ఆచారాలకు ఉపయోగిస్తారు. ప్రాంగణాన్ని సంరక్షకులు నిర్వహిస్తారు. సందర్శకులు ఆలయ ఆచారాలను పాటించాలి.</v>
      </c>
      <c r="M101" s="10" t="str">
        <f>IFERROR(__xludf.DUMMYFUNCTION("GOOGLETRANSLATE(K101,""en"",""hi"")"),"कालभैरव मठ शैव धर्म से जुड़ा एक धार्मिक मठ है। इसका उपयोग प्रार्थना और अनुष्ठानों के लिए किया जाता है। परिसर की देखरेख देखभालकर्ताओं द्वारा की जाती है। आगंतुकों को मंदिर के रीति-रिवाजों का पालन करना आवश्यक है।")</f>
        <v>कालभैरव मठ शैव धर्म से जुड़ा एक धार्मिक मठ है। इसका उपयोग प्रार्थना और अनुष्ठानों के लिए किया जाता है। परिसर की देखरेख देखभालकर्ताओं द्वारा की जाती है। आगंतुकों को मंदिर के रीति-रिवाजों का पालन करना आवश्यक है।</v>
      </c>
      <c r="N101" s="10" t="str">
        <f>IFERROR(__xludf.DUMMYFUNCTION("GOOGLETRANSLATE(K101,""en"",""ta"")"),"காலபைரவர் மடம் என்பது சைவ வழிபாட்டுடன் தொடர்புடைய ஒரு மத மடம். இது பிரார்த்தனைகள் மற்றும் சடங்குகளுக்குப் பயன்படுத்தப்படுகிறது. வளாகத்தை பராமரிப்பாளர்கள் பராமரிக்கின்றனர். பார்வையாளர்கள் கோயில் பழக்கவழக்கங்களைப் பின்பற்ற வேண்டும்.")</f>
        <v>காலபைரவர் மடம் என்பது சைவ வழிபாட்டுடன் தொடர்புடைய ஒரு மத மடம். இது பிரார்த்தனைகள் மற்றும் சடங்குகளுக்குப் பயன்படுத்தப்படுகிறது. வளாகத்தை பராமரிப்பாளர்கள் பராமரிக்கின்றனர். பார்வையாளர்கள் கோயில் பழக்கவழக்கங்களைப் பின்பற்ற வேண்டும்.</v>
      </c>
      <c r="O101" s="10" t="str">
        <f>IFERROR(__xludf.DUMMYFUNCTION("GOOGLETRANSLATE(K101,""en"",""kn"")"),"ಕಾಲಭೈರವ ಮಠವು ಶೈವ ಪೂಜೆಗೆ ಸಂಬಂಧಿಸಿದ ಧಾರ್ಮಿಕ ಮಠವಾಗಿದೆ. ಇದನ್ನು ಪ್ರಾರ್ಥನೆ ಮತ್ತು ಆಚರಣೆಗಳಿಗೆ ಬಳಸಲಾಗುತ್ತದೆ. ಆವರಣವನ್ನು ಉಸ್ತುವಾರಿಗಳು ನಿರ್ವಹಿಸುತ್ತಾರೆ. ಸಂದರ್ಶಕರು ದೇವಾಲಯದ ಪದ್ಧತಿಗಳನ್ನು ಪಾಲಿಸಬೇಕು.")</f>
        <v>ಕಾಲಭೈರವ ಮಠವು ಶೈವ ಪೂಜೆಗೆ ಸಂಬಂಧಿಸಿದ ಧಾರ್ಮಿಕ ಮಠವಾಗಿದೆ. ಇದನ್ನು ಪ್ರಾರ್ಥನೆ ಮತ್ತು ಆಚರಣೆಗಳಿಗೆ ಬಳಸಲಾಗುತ್ತದೆ. ಆವರಣವನ್ನು ಉಸ್ತುವಾರಿಗಳು ನಿರ್ವಹಿಸುತ್ತಾರೆ. ಸಂದರ್ಶಕರು ದೇವಾಲಯದ ಪದ್ಧತಿಗಳನ್ನು ಪಾಲಿಸಬೇಕು.</v>
      </c>
      <c r="P101" s="10" t="str">
        <f>IFERROR(__xludf.DUMMYFUNCTION("GOOGLETRANSLATE(K101,""en"",""ml"")"),"ശൈവ ആരാധനയുമായി ബന്ധപ്പെട്ട ഒരു മത മഠമാണ് കാലഭൈരവ മഠം. പ്രാർത്ഥനകൾക്കും അനുഷ്ഠാനങ്ങൾക്കും ഇത് ഉപയോഗിക്കുന്നു. പരിസരം പരിപാലകരാണ് പരിപാലിക്കുന്നത്. സന്ദർശകർ ക്ഷേത്ര ആചാരങ്ങൾ പാലിക്കണം.")</f>
        <v>ശൈവ ആരാധനയുമായി ബന്ധപ്പെട്ട ഒരു മത മഠമാണ് കാലഭൈരവ മഠം. പ്രാർത്ഥനകൾക്കും അനുഷ്ഠാനങ്ങൾക്കും ഇത് ഉപയോഗിക്കുന്നു. പരിസരം പരിപാലകരാണ് പരിപാലിക്കുന്നത്. സന്ദർശകർ ക്ഷേത്ര ആചാരങ്ങൾ പാലിക്കണം.</v>
      </c>
    </row>
    <row r="102">
      <c r="A102" s="6">
        <f t="shared" si="1"/>
        <v>101</v>
      </c>
      <c r="B102" s="6" t="s">
        <v>367</v>
      </c>
      <c r="C102" s="6">
        <v>16.076756</v>
      </c>
      <c r="D102" s="6">
        <v>78.8622211</v>
      </c>
      <c r="E102" s="8" t="s">
        <v>310</v>
      </c>
      <c r="F102" s="8" t="s">
        <v>368</v>
      </c>
      <c r="G102" s="8" t="s">
        <v>369</v>
      </c>
      <c r="H102" s="8" t="s">
        <v>370</v>
      </c>
      <c r="I102" s="8" t="s">
        <v>371</v>
      </c>
      <c r="J102" s="8" t="s">
        <v>372</v>
      </c>
      <c r="K102" s="12" t="s">
        <v>373</v>
      </c>
      <c r="L102" s="10" t="str">
        <f>IFERROR(__xludf.DUMMYFUNCTION("GOOGLETRANSLATE(K102,""en"",""te"")"),"ఈ ఆశ్రమం భక్తులకు ఉచిత రోజువారీ భోజనాన్ని అందిస్తుంది. ఇది ధార్మిక సేవలలో భాగంగా పనిచేస్తుంది. నిర్ణీత సమయాల్లో ఆహారం వడ్డిస్తారు.")</f>
        <v>ఈ ఆశ్రమం భక్తులకు ఉచిత రోజువారీ భోజనాన్ని అందిస్తుంది. ఇది ధార్మిక సేవలలో భాగంగా పనిచేస్తుంది. నిర్ణీత సమయాల్లో ఆహారం వడ్డిస్తారు.</v>
      </c>
      <c r="M102" s="10" t="str">
        <f>IFERROR(__xludf.DUMMYFUNCTION("GOOGLETRANSLATE(K102,""en"",""hi"")"),"यह आश्रम भक्तों को प्रतिदिन निःशुल्क भोजन प्रदान करता है। यह धर्मार्थ सेवाओं के अंतर्गत संचालित होता है। भोजन निश्चित समय पर परोसा जाता है।")</f>
        <v>यह आश्रम भक्तों को प्रतिदिन निःशुल्क भोजन प्रदान करता है। यह धर्मार्थ सेवाओं के अंतर्गत संचालित होता है। भोजन निश्चित समय पर परोसा जाता है।</v>
      </c>
      <c r="N102" s="10" t="str">
        <f>IFERROR(__xludf.DUMMYFUNCTION("GOOGLETRANSLATE(K102,""en"",""ta"")"),"இந்த ஆசிரமம் பக்தர்களுக்கு தினசரி இலவச உணவை வழங்குகிறது. இது தொண்டு சேவைகளின் ஒரு பகுதியாக செயல்படுகிறது. உணவு குறிப்பிட்ட நேரங்களில் வழங்கப்படுகிறது.")</f>
        <v>இந்த ஆசிரமம் பக்தர்களுக்கு தினசரி இலவச உணவை வழங்குகிறது. இது தொண்டு சேவைகளின் ஒரு பகுதியாக செயல்படுகிறது. உணவு குறிப்பிட்ட நேரங்களில் வழங்கப்படுகிறது.</v>
      </c>
      <c r="O102" s="10" t="str">
        <f>IFERROR(__xludf.DUMMYFUNCTION("GOOGLETRANSLATE(K102,""en"",""kn"")"),"ಈ ಆಶ್ರಮವು ಭಕ್ತರಿಗೆ ಉಚಿತ ದೈನಂದಿನ ಊಟವನ್ನು ಒದಗಿಸುತ್ತದೆ. ಇದು ದತ್ತಿ ಸೇವೆಗಳ ಭಾಗವಾಗಿ ಕಾರ್ಯನಿರ್ವಹಿಸುತ್ತದೆ. ನಿಗದಿತ ಸಮಯದಲ್ಲಿ ಆಹಾರವನ್ನು ಬಡಿಸಲಾಗುತ್ತದೆ.")</f>
        <v>ಈ ಆಶ್ರಮವು ಭಕ್ತರಿಗೆ ಉಚಿತ ದೈನಂದಿನ ಊಟವನ್ನು ಒದಗಿಸುತ್ತದೆ. ಇದು ದತ್ತಿ ಸೇವೆಗಳ ಭಾಗವಾಗಿ ಕಾರ್ಯನಿರ್ವಹಿಸುತ್ತದೆ. ನಿಗದಿತ ಸಮಯದಲ್ಲಿ ಆಹಾರವನ್ನು ಬಡಿಸಲಾಗುತ್ತದೆ.</v>
      </c>
      <c r="P102" s="10" t="str">
        <f>IFERROR(__xludf.DUMMYFUNCTION("GOOGLETRANSLATE(K102,""en"",""ml"")"),"ഈ ആശ്രമം ഭക്തർക്ക് സൗജന്യമായി ദിവസേന ഭക്ഷണം നൽകുന്നു. ജീവകാരുണ്യ സേവനങ്ങളുടെ ഭാഗമായാണ് ഇത് പ്രവർത്തിക്കുന്നത്. നിശ്ചിത സമയങ്ങളിൽ ഭക്ഷണം വിളമ്പുന്നു.")</f>
        <v>ഈ ആശ്രമം ഭക്തർക്ക് സൗജന്യമായി ദിവസേന ഭക്ഷണം നൽകുന്നു. ജീവകാരുണ്യ സേവനങ്ങളുടെ ഭാഗമായാണ് ഇത് പ്രവർത്തിക്കുന്നത്. നിശ്ചിത സമയങ്ങളിൽ ഭക്ഷണം വിളമ്പുന്നു.</v>
      </c>
    </row>
    <row r="103">
      <c r="A103" s="6">
        <f t="shared" si="1"/>
        <v>102</v>
      </c>
      <c r="B103" s="6" t="s">
        <v>374</v>
      </c>
      <c r="C103" s="6">
        <v>16.07657</v>
      </c>
      <c r="D103" s="6">
        <v>78.8624956</v>
      </c>
      <c r="E103" s="8" t="s">
        <v>310</v>
      </c>
      <c r="F103" s="10" t="str">
        <f>IFERROR(__xludf.DUMMYFUNCTION("GOOGLETRANSLATE(B103,""en"",""te"")"),"శ్రీ దత్త సాయి (మౌనస్వామి) అశ్వరం")</f>
        <v>శ్రీ దత్త సాయి (మౌనస్వామి) అశ్వరం</v>
      </c>
      <c r="G103" s="8" t="s">
        <v>375</v>
      </c>
      <c r="H103" s="8" t="s">
        <v>376</v>
      </c>
      <c r="I103" s="8" t="s">
        <v>377</v>
      </c>
      <c r="J103" s="8" t="s">
        <v>378</v>
      </c>
      <c r="K103" s="12" t="s">
        <v>379</v>
      </c>
      <c r="L103" s="10" t="str">
        <f>IFERROR(__xludf.DUMMYFUNCTION("GOOGLETRANSLATE(K103,""en"",""te"")"),"ఈ ఆశ్రమం ఆధ్యాత్మిక సాధనలు మరియు నిశ్శబ్ద ఆచారాలకు అంకితం చేయబడింది. ప్రశాంత వాతావరణాన్ని కోరుకునే భక్తులకు ఇది మద్దతు ఇస్తుంది. కార్యకలాపాలు కఠినమైన క్రమశిక్షణను అనుసరిస్తాయి. సందర్శకుల ప్రవేశం నియంత్రించబడుతుంది.")</f>
        <v>ఈ ఆశ్రమం ఆధ్యాత్మిక సాధనలు మరియు నిశ్శబ్ద ఆచారాలకు అంకితం చేయబడింది. ప్రశాంత వాతావరణాన్ని కోరుకునే భక్తులకు ఇది మద్దతు ఇస్తుంది. కార్యకలాపాలు కఠినమైన క్రమశిక్షణను అనుసరిస్తాయి. సందర్శకుల ప్రవేశం నియంత్రించబడుతుంది.</v>
      </c>
      <c r="M103" s="10" t="str">
        <f>IFERROR(__xludf.DUMMYFUNCTION("GOOGLETRANSLATE(K103,""en"",""hi"")"),"यह आश्रम आध्यात्मिक साधनाओं और मौन पालन के लिए समर्पित है। यह शांत वातावरण की तलाश करने वाले भक्तों को सहयोग प्रदान करता है। यहाँ की गतिविधियाँ सख्त अनुशासन के अंतर्गत होती हैं। आगंतुकों का प्रवेश नियंत्रित है।")</f>
        <v>यह आश्रम आध्यात्मिक साधनाओं और मौन पालन के लिए समर्पित है। यह शांत वातावरण की तलाश करने वाले भक्तों को सहयोग प्रदान करता है। यहाँ की गतिविधियाँ सख्त अनुशासन के अंतर्गत होती हैं। आगंतुकों का प्रवेश नियंत्रित है।</v>
      </c>
      <c r="N103" s="10" t="str">
        <f>IFERROR(__xludf.DUMMYFUNCTION("GOOGLETRANSLATE(K103,""en"",""ta"")"),"இந்த ஆசிரமம் ஆன்மீக பயிற்சிகள் மற்றும் மௌன அனுசரிப்புக்கு அர்ப்பணிக்கப்பட்டுள்ளது. அமைதியான சூழலை விரும்பும் பக்தர்களுக்கு இது துணைபுரிகிறது. செயல்பாடுகள் கடுமையான ஒழுக்கத்தைப் பின்பற்றுகின்றன. பார்வையாளர் அணுகல் கட்டுப்படுத்தப்படுகிறது.")</f>
        <v>இந்த ஆசிரமம் ஆன்மீக பயிற்சிகள் மற்றும் மௌன அனுசரிப்புக்கு அர்ப்பணிக்கப்பட்டுள்ளது. அமைதியான சூழலை விரும்பும் பக்தர்களுக்கு இது துணைபுரிகிறது. செயல்பாடுகள் கடுமையான ஒழுக்கத்தைப் பின்பற்றுகின்றன. பார்வையாளர் அணுகல் கட்டுப்படுத்தப்படுகிறது.</v>
      </c>
      <c r="O103" s="10" t="str">
        <f>IFERROR(__xludf.DUMMYFUNCTION("GOOGLETRANSLATE(K103,""en"",""kn"")"),"ಈ ಆಶ್ರಮವು ಆಧ್ಯಾತ್ಮಿಕ ಅಭ್ಯಾಸಗಳು ಮತ್ತು ಮೌನ ಪಾಲನೆಗೆ ಸಮರ್ಪಿತವಾಗಿದೆ. ಇದು ಶಾಂತ ವಾತಾವರಣವನ್ನು ಬಯಸುವ ಭಕ್ತರಿಗೆ ಬೆಂಬಲ ನೀಡುತ್ತದೆ. ಚಟುವಟಿಕೆಗಳು ಕಟ್ಟುನಿಟ್ಟಾದ ಶಿಸ್ತನ್ನು ಅನುಸರಿಸುತ್ತವೆ. ಸಂದರ್ಶಕರ ಪ್ರವೇಶವನ್ನು ನಿಯಂತ್ರಿಸಲಾಗುತ್ತದೆ.")</f>
        <v>ಈ ಆಶ್ರಮವು ಆಧ್ಯಾತ್ಮಿಕ ಅಭ್ಯಾಸಗಳು ಮತ್ತು ಮೌನ ಪಾಲನೆಗೆ ಸಮರ್ಪಿತವಾಗಿದೆ. ಇದು ಶಾಂತ ವಾತಾವರಣವನ್ನು ಬಯಸುವ ಭಕ್ತರಿಗೆ ಬೆಂಬಲ ನೀಡುತ್ತದೆ. ಚಟುವಟಿಕೆಗಳು ಕಟ್ಟುನಿಟ್ಟಾದ ಶಿಸ್ತನ್ನು ಅನುಸರಿಸುತ್ತವೆ. ಸಂದರ್ಶಕರ ಪ್ರವೇಶವನ್ನು ನಿಯಂತ್ರಿಸಲಾಗುತ್ತದೆ.</v>
      </c>
      <c r="P103" s="10" t="str">
        <f>IFERROR(__xludf.DUMMYFUNCTION("GOOGLETRANSLATE(K103,""en"",""ml"")"),"ആത്മീയ ആചാരങ്ങൾക്കും നിശബ്ദതാ ആചരണത്തിനും വേണ്ടി സമർപ്പിച്ചിരിക്കുന്ന ആശ്രമമാണിത്. ശാന്തമായ അന്തരീക്ഷം ആഗ്രഹിക്കുന്ന ഭക്തരെ ഇത് പിന്തുണയ്ക്കുന്നു. കർശനമായ അച്ചടക്കം പാലിക്കുന്ന പ്രവർത്തനങ്ങൾ. സന്ദർശക പ്രവേശനം നിയന്ത്രിതമാണ്.")</f>
        <v>ആത്മീയ ആചാരങ്ങൾക്കും നിശബ്ദതാ ആചരണത്തിനും വേണ്ടി സമർപ്പിച്ചിരിക്കുന്ന ആശ്രമമാണിത്. ശാന്തമായ അന്തരീക്ഷം ആഗ്രഹിക്കുന്ന ഭക്തരെ ഇത് പിന്തുണയ്ക്കുന്നു. കർശനമായ അച്ചടക്കം പാലിക്കുന്ന പ്രവർത്തനങ്ങൾ. സന്ദർശക പ്രവേശനം നിയന്ത്രിതമാണ്.</v>
      </c>
    </row>
    <row r="104">
      <c r="A104" s="6">
        <f t="shared" si="1"/>
        <v>103</v>
      </c>
      <c r="B104" s="6" t="s">
        <v>380</v>
      </c>
      <c r="C104" s="6">
        <v>16.078211</v>
      </c>
      <c r="D104" s="6">
        <v>78.8763484</v>
      </c>
      <c r="E104" s="8" t="s">
        <v>310</v>
      </c>
      <c r="F104" s="8" t="s">
        <v>381</v>
      </c>
      <c r="G104" s="8" t="s">
        <v>382</v>
      </c>
      <c r="H104" s="8" t="s">
        <v>383</v>
      </c>
      <c r="I104" s="8" t="s">
        <v>384</v>
      </c>
      <c r="J104" s="8" t="s">
        <v>385</v>
      </c>
      <c r="K104" s="12" t="s">
        <v>386</v>
      </c>
      <c r="L104" s="10" t="str">
        <f>IFERROR(__xludf.DUMMYFUNCTION("GOOGLETRANSLATE(K104,""en"",""te"")"),"ఈ ఆశ్రమం ఆధ్యాత్మిక నివాసంగా మరియు ప్రార్థనా స్థలంగా పనిచేస్తుంది. ప్రతిరోజూ మతపరమైన దినచర్యలు పాటించబడతాయి. ఈ ప్రాంతాన్ని సందర్శించే భక్తులకు ఇది మద్దతు ఇస్తుంది. ఆశ్రమ నియమాల ప్రకారం ప్రవేశం అనుమతించబడుతుంది.")</f>
        <v>ఈ ఆశ్రమం ఆధ్యాత్మిక నివాసంగా మరియు ప్రార్థనా స్థలంగా పనిచేస్తుంది. ప్రతిరోజూ మతపరమైన దినచర్యలు పాటించబడతాయి. ఈ ప్రాంతాన్ని సందర్శించే భక్తులకు ఇది మద్దతు ఇస్తుంది. ఆశ్రమ నియమాల ప్రకారం ప్రవేశం అనుమతించబడుతుంది.</v>
      </c>
      <c r="M104" s="10" t="str">
        <f>IFERROR(__xludf.DUMMYFUNCTION("GOOGLETRANSLATE(K104,""en"",""hi"")"),"यह आश्रम आध्यात्मिक निवास और पूजा स्थल के रूप में कार्य करता है। यहाँ प्रतिदिन धार्मिक अनुष्ठान किए जाते हैं। यह आश्रम क्षेत्र में आने वाले श्रद्धालुओं को सहायता प्रदान करता है। आश्रम के नियमों के अनुसार ही प्रवेश की अनुमति है।")</f>
        <v>यह आश्रम आध्यात्मिक निवास और पूजा स्थल के रूप में कार्य करता है। यहाँ प्रतिदिन धार्मिक अनुष्ठान किए जाते हैं। यह आश्रम क्षेत्र में आने वाले श्रद्धालुओं को सहायता प्रदान करता है। आश्रम के नियमों के अनुसार ही प्रवेश की अनुमति है।</v>
      </c>
      <c r="N104" s="10" t="str">
        <f>IFERROR(__xludf.DUMMYFUNCTION("GOOGLETRANSLATE(K104,""en"",""ta"")"),"இந்த ஆசிரமம் ஒரு ஆன்மீக வசிப்பிடமாகவும் வழிபாட்டுத் தலமாகவும் செயல்படுகிறது. மத நடைமுறைகள் தினமும் பின்பற்றப்படுகின்றன. இது இப்பகுதிக்கு வருகை தரும் பக்தர்களை ஆதரிக்கிறது. ஆசிரம விதிகளின்படி நுழைவு அனுமதிக்கப்படுகிறது.")</f>
        <v>இந்த ஆசிரமம் ஒரு ஆன்மீக வசிப்பிடமாகவும் வழிபாட்டுத் தலமாகவும் செயல்படுகிறது. மத நடைமுறைகள் தினமும் பின்பற்றப்படுகின்றன. இது இப்பகுதிக்கு வருகை தரும் பக்தர்களை ஆதரிக்கிறது. ஆசிரம விதிகளின்படி நுழைவு அனுமதிக்கப்படுகிறது.</v>
      </c>
      <c r="O104" s="10" t="str">
        <f>IFERROR(__xludf.DUMMYFUNCTION("GOOGLETRANSLATE(K104,""en"",""kn"")"),"ಈ ಆಶ್ರಮವು ಆಧ್ಯಾತ್ಮಿಕ ನಿವಾಸ ಮತ್ತು ಪೂಜಾ ಸ್ಥಳವಾಗಿ ಕಾರ್ಯನಿರ್ವಹಿಸುತ್ತದೆ. ಧಾರ್ಮಿಕ ದಿನಚರಿಗಳನ್ನು ಪ್ರತಿದಿನ ಅನುಸರಿಸಲಾಗುತ್ತದೆ. ಇದು ಪ್ರದೇಶಕ್ಕೆ ಭೇಟಿ ನೀಡುವ ಭಕ್ತರಿಗೆ ಬೆಂಬಲ ನೀಡುತ್ತದೆ. ಆಶ್ರಮದ ನಿಯಮಗಳ ಪ್ರಕಾರ ಪ್ರವೇಶವನ್ನು ಅನುಮತಿಸಲಾಗಿದೆ.")</f>
        <v>ಈ ಆಶ್ರಮವು ಆಧ್ಯಾತ್ಮಿಕ ನಿವಾಸ ಮತ್ತು ಪೂಜಾ ಸ್ಥಳವಾಗಿ ಕಾರ್ಯನಿರ್ವಹಿಸುತ್ತದೆ. ಧಾರ್ಮಿಕ ದಿನಚರಿಗಳನ್ನು ಪ್ರತಿದಿನ ಅನುಸರಿಸಲಾಗುತ್ತದೆ. ಇದು ಪ್ರದೇಶಕ್ಕೆ ಭೇಟಿ ನೀಡುವ ಭಕ್ತರಿಗೆ ಬೆಂಬಲ ನೀಡುತ್ತದೆ. ಆಶ್ರಮದ ನಿಯಮಗಳ ಪ್ರಕಾರ ಪ್ರವೇಶವನ್ನು ಅನುಮತಿಸಲಾಗಿದೆ.</v>
      </c>
      <c r="P104" s="10" t="str">
        <f>IFERROR(__xludf.DUMMYFUNCTION("GOOGLETRANSLATE(K104,""en"",""ml"")"),"ഈ ആശ്രമം ഒരു ആത്മീയ വസതിയും ആരാധനാലയവുമായി വർത്തിക്കുന്നു. മതപരമായ ദിനചര്യകൾ ദിവസവും പിന്തുടരുന്നു. പ്രദേശം സന്ദർശിക്കുന്ന ഭക്തരെ ഇത് പിന്തുണയ്ക്കുന്നു. ആശ്രമ നിയമങ്ങൾ അനുസരിച്ച് പ്രവേശനം അനുവദനീയമാണ്.")</f>
        <v>ഈ ആശ്രമം ഒരു ആത്മീയ വസതിയും ആരാധനാലയവുമായി വർത്തിക്കുന്നു. മതപരമായ ദിനചര്യകൾ ദിവസവും പിന്തുടരുന്നു. പ്രദേശം സന്ദർശിക്കുന്ന ഭക്തരെ ഇത് പിന്തുണയ്ക്കുന്നു. ആശ്രമ നിയമങ്ങൾ അനുസരിച്ച് പ്രവേശനം അനുവദനീയമാണ്.</v>
      </c>
    </row>
    <row r="105">
      <c r="A105" s="6">
        <f t="shared" si="1"/>
        <v>104</v>
      </c>
      <c r="B105" s="6" t="s">
        <v>387</v>
      </c>
      <c r="C105" s="6">
        <v>16.0662378</v>
      </c>
      <c r="D105" s="6">
        <v>78.8678136</v>
      </c>
      <c r="E105" s="8" t="s">
        <v>310</v>
      </c>
      <c r="F105" s="8" t="s">
        <v>388</v>
      </c>
      <c r="G105" s="8" t="s">
        <v>389</v>
      </c>
      <c r="H105" s="8" t="s">
        <v>390</v>
      </c>
      <c r="I105" s="8" t="s">
        <v>391</v>
      </c>
      <c r="J105" s="8" t="s">
        <v>392</v>
      </c>
      <c r="K105" s="12" t="s">
        <v>393</v>
      </c>
      <c r="L105" s="10" t="str">
        <f>IFERROR(__xludf.DUMMYFUNCTION("GOOGLETRANSLATE(K105,""en"",""te"")"),"శ్రీ మౌనస్వామి ఆశ్రమం ధ్యానం మరియు నిశ్శబ్ద అభ్యాసాలపై దృష్టి పెట్టింది. ఇది భక్తులకు ప్రశాంతమైన వాతావరణాన్ని అందిస్తుంది. రోజువారీ కార్యకలాపాలు నిర్ణీత షెడ్యూల్‌ను అనుసరిస్తాయి. ప్రవేశం పరిమితం.")</f>
        <v>శ్రీ మౌనస్వామి ఆశ్రమం ధ్యానం మరియు నిశ్శబ్ద అభ్యాసాలపై దృష్టి పెట్టింది. ఇది భక్తులకు ప్రశాంతమైన వాతావరణాన్ని అందిస్తుంది. రోజువారీ కార్యకలాపాలు నిర్ణీత షెడ్యూల్‌ను అనుసరిస్తాయి. ప్రవేశం పరిమితం.</v>
      </c>
      <c r="M105" s="10" t="str">
        <f>IFERROR(__xludf.DUMMYFUNCTION("GOOGLETRANSLATE(K105,""en"",""hi"")"),"श्री मौनस्वामी आश्रम ध्यान और मौन साधनाओं पर केंद्रित है। यह भक्तों के लिए एक शांतिपूर्ण वातावरण प्रदान करता है। दैनिक गतिविधियाँ एक निश्चित समय सारिणी के अनुसार होती हैं। प्रवेश सीमित है।")</f>
        <v>श्री मौनस्वामी आश्रम ध्यान और मौन साधनाओं पर केंद्रित है। यह भक्तों के लिए एक शांतिपूर्ण वातावरण प्रदान करता है। दैनिक गतिविधियाँ एक निश्चित समय सारिणी के अनुसार होती हैं। प्रवेश सीमित है।</v>
      </c>
      <c r="N105" s="10" t="str">
        <f>IFERROR(__xludf.DUMMYFUNCTION("GOOGLETRANSLATE(K105,""en"",""ta"")"),"ஸ்ரீ மௌனசாமி ஆசிரமம் தியானம் மற்றும் மௌனப் பயிற்சிகளில் கவனம் செலுத்துகிறது. இது பக்தர்களுக்கு அமைதியான சூழலை வழங்குகிறது. அன்றாட நடவடிக்கைகள் ஒரு நிலையான அட்டவணையைப் பின்பற்றுகின்றன. அணுகல் குறைவாகவே உள்ளது.")</f>
        <v>ஸ்ரீ மௌனசாமி ஆசிரமம் தியானம் மற்றும் மௌனப் பயிற்சிகளில் கவனம் செலுத்துகிறது. இது பக்தர்களுக்கு அமைதியான சூழலை வழங்குகிறது. அன்றாட நடவடிக்கைகள் ஒரு நிலையான அட்டவணையைப் பின்பற்றுகின்றன. அணுகல் குறைவாகவே உள்ளது.</v>
      </c>
      <c r="O105" s="10" t="str">
        <f>IFERROR(__xludf.DUMMYFUNCTION("GOOGLETRANSLATE(K105,""en"",""kn"")"),"ಶ್ರೀ ಮೌನಸ್ವಾಮಿ ಆಶ್ರಮವು ಧ್ಯಾನ ಮತ್ತು ಮೌನ ಅಭ್ಯಾಸಗಳ ಮೇಲೆ ಕೇಂದ್ರೀಕೃತವಾಗಿದೆ. ಇದು ಭಕ್ತರಿಗೆ ಶಾಂತಿಯುತ ವಾತಾವರಣವನ್ನು ನೀಡುತ್ತದೆ. ದೈನಂದಿನ ಚಟುವಟಿಕೆಗಳು ನಿಗದಿತ ವೇಳಾಪಟ್ಟಿಯನ್ನು ಅನುಸರಿಸುತ್ತವೆ. ಪ್ರವೇಶ ಸೀಮಿತವಾಗಿದೆ.")</f>
        <v>ಶ್ರೀ ಮೌನಸ್ವಾಮಿ ಆಶ್ರಮವು ಧ್ಯಾನ ಮತ್ತು ಮೌನ ಅಭ್ಯಾಸಗಳ ಮೇಲೆ ಕೇಂದ್ರೀಕೃತವಾಗಿದೆ. ಇದು ಭಕ್ತರಿಗೆ ಶಾಂತಿಯುತ ವಾತಾವರಣವನ್ನು ನೀಡುತ್ತದೆ. ದೈನಂದಿನ ಚಟುವಟಿಕೆಗಳು ನಿಗದಿತ ವೇಳಾಪಟ್ಟಿಯನ್ನು ಅನುಸರಿಸುತ್ತವೆ. ಪ್ರವೇಶ ಸೀಮಿತವಾಗಿದೆ.</v>
      </c>
      <c r="P105" s="10" t="str">
        <f>IFERROR(__xludf.DUMMYFUNCTION("GOOGLETRANSLATE(K105,""en"",""ml"")"),"ശ്രീ മൗനസ്വാമി ആശ്രമം ധ്യാനത്തിലും നിശബ്ദ പരിശീലനങ്ങളിലും ശ്രദ്ധ കേന്ദ്രീകരിക്കുന്നു. ഭക്തർക്ക് സമാധാനപരമായ അന്തരീക്ഷം പ്രദാനം ചെയ്യുന്നു. ദൈനംദിന പ്രവർത്തനങ്ങൾക്ക് ഒരു നിശ്ചിത സമയക്രമം പിന്തുടരുന്നു. പ്രവേശനം പരിമിതമാണ്.")</f>
        <v>ശ്രീ മൗനസ്വാമി ആശ്രമം ധ്യാനത്തിലും നിശബ്ദ പരിശീലനങ്ങളിലും ശ്രദ്ധ കേന്ദ്രീകരിക്കുന്നു. ഭക്തർക്ക് സമാധാനപരമായ അന്തരീക്ഷം പ്രദാനം ചെയ്യുന്നു. ദൈനംദിന പ്രവർത്തനങ്ങൾക്ക് ഒരു നിശ്ചിത സമയക്രമം പിന്തുടരുന്നു. പ്രവേശനം പരിമിതമാണ്.</v>
      </c>
    </row>
    <row r="106">
      <c r="A106" s="6">
        <f t="shared" si="1"/>
        <v>105</v>
      </c>
      <c r="B106" s="6" t="s">
        <v>394</v>
      </c>
      <c r="C106" s="6">
        <v>16.069103</v>
      </c>
      <c r="D106" s="6">
        <v>78.8723664</v>
      </c>
      <c r="E106" s="8" t="s">
        <v>310</v>
      </c>
      <c r="F106" s="8" t="s">
        <v>395</v>
      </c>
      <c r="G106" s="8" t="s">
        <v>396</v>
      </c>
      <c r="H106" s="8" t="s">
        <v>397</v>
      </c>
      <c r="I106" s="8" t="s">
        <v>398</v>
      </c>
      <c r="J106" s="8" t="s">
        <v>399</v>
      </c>
      <c r="K106" s="12" t="s">
        <v>400</v>
      </c>
      <c r="L106" s="10" t="str">
        <f>IFERROR(__xludf.DUMMYFUNCTION("GOOGLETRANSLATE(K106,""en"",""te"")"),"హిందూ మాల సత్రం యాత్రికులకు వసతి మరియు సహాయాన్ని అందిస్తుంది. దీనిని ప్రధానంగా విశ్రాంతి మరియు స్వల్పకాలిక బస కోసం ఉపయోగిస్తారు. సౌకర్యాలు సరళమైనవి. వినియోగం సత్రం మార్గదర్శకాలను అనుసరిస్తుంది.")</f>
        <v>హిందూ మాల సత్రం యాత్రికులకు వసతి మరియు సహాయాన్ని అందిస్తుంది. దీనిని ప్రధానంగా విశ్రాంతి మరియు స్వల్పకాలిక బస కోసం ఉపయోగిస్తారు. సౌకర్యాలు సరళమైనవి. వినియోగం సత్రం మార్గదర్శకాలను అనుసరిస్తుంది.</v>
      </c>
      <c r="M106" s="10" t="str">
        <f>IFERROR(__xludf.DUMMYFUNCTION("GOOGLETRANSLATE(K106,""en"",""hi"")"),"हिंदू माला सतरम तीर्थयात्रियों के लिए आवास और सहायता प्रदान करता है। इसका मुख्य उपयोग विश्राम और अल्पकालिक प्रवास के लिए किया जाता है। सुविधाएं सरल हैं। उपयोग सतरम के दिशानिर्देशों के अनुसार ही किया जाता है।")</f>
        <v>हिंदू माला सतरम तीर्थयात्रियों के लिए आवास और सहायता प्रदान करता है। इसका मुख्य उपयोग विश्राम और अल्पकालिक प्रवास के लिए किया जाता है। सुविधाएं सरल हैं। उपयोग सतरम के दिशानिर्देशों के अनुसार ही किया जाता है।</v>
      </c>
      <c r="N106" s="10" t="str">
        <f>IFERROR(__xludf.DUMMYFUNCTION("GOOGLETRANSLATE(K106,""en"",""ta"")"),"இந்து மாலா சத்திரம் யாத்ரீகர்களுக்கு தங்குமிடம் மற்றும் ஆதரவை வழங்குகிறது. இது முக்கியமாக ஓய்வு மற்றும் குறுகிய கால தங்குதலுக்குப் பயன்படுத்தப்படுகிறது. வசதிகள் எளிமையானவை. பயன்பாடு சத்திர வழிகாட்டுதல்களைப் பின்பற்றுகிறது.")</f>
        <v>இந்து மாலா சத்திரம் யாத்ரீகர்களுக்கு தங்குமிடம் மற்றும் ஆதரவை வழங்குகிறது. இது முக்கியமாக ஓய்வு மற்றும் குறுகிய கால தங்குதலுக்குப் பயன்படுத்தப்படுகிறது. வசதிகள் எளிமையானவை. பயன்பாடு சத்திர வழிகாட்டுதல்களைப் பின்பற்றுகிறது.</v>
      </c>
      <c r="O106" s="10" t="str">
        <f>IFERROR(__xludf.DUMMYFUNCTION("GOOGLETRANSLATE(K106,""en"",""kn"")"),"ಹಿಂದೂ ಮಾಲ ಸತ್ರಂ ಯಾತ್ರಿಕರಿಗೆ ವಸತಿ ಮತ್ತು ಬೆಂಬಲವನ್ನು ಒದಗಿಸುತ್ತದೆ. ಇದನ್ನು ಮುಖ್ಯವಾಗಿ ವಿಶ್ರಾಂತಿ ಮತ್ತು ಅಲ್ಪಾವಧಿಯ ವಾಸ್ತವ್ಯಕ್ಕಾಗಿ ಬಳಸಲಾಗುತ್ತದೆ. ಸೌಲಭ್ಯಗಳು ಸರಳವಾಗಿದೆ. ಬಳಕೆಯು ಸತ್ರಮ್ ಮಾರ್ಗಸೂಚಿಗಳನ್ನು ಅನುಸರಿಸುತ್ತದೆ.")</f>
        <v>ಹಿಂದೂ ಮಾಲ ಸತ್ರಂ ಯಾತ್ರಿಕರಿಗೆ ವಸತಿ ಮತ್ತು ಬೆಂಬಲವನ್ನು ಒದಗಿಸುತ್ತದೆ. ಇದನ್ನು ಮುಖ್ಯವಾಗಿ ವಿಶ್ರಾಂತಿ ಮತ್ತು ಅಲ್ಪಾವಧಿಯ ವಾಸ್ತವ್ಯಕ್ಕಾಗಿ ಬಳಸಲಾಗುತ್ತದೆ. ಸೌಲಭ್ಯಗಳು ಸರಳವಾಗಿದೆ. ಬಳಕೆಯು ಸತ್ರಮ್ ಮಾರ್ಗಸೂಚಿಗಳನ್ನು ಅನುಸರಿಸುತ್ತದೆ.</v>
      </c>
      <c r="P106" s="10" t="str">
        <f>IFERROR(__xludf.DUMMYFUNCTION("GOOGLETRANSLATE(K106,""en"",""ml"")"),"ഹിന്ദു മാല സത്രം തീർത്ഥാടകർക്ക് താമസ സൗകര്യവും സഹായവും നൽകുന്നു. വിശ്രമത്തിനും ഹ്രസ്വകാല താമസത്തിനുമാണ് ഇത് പ്രധാനമായും ഉപയോഗിക്കുന്നത്. സൗകര്യങ്ങൾ ലളിതമാണ്. ഉപയോഗം സത്രം മാർഗ്ഗനിർദ്ദേശങ്ങൾ പാലിക്കുന്നു.")</f>
        <v>ഹിന്ദു മാല സത്രം തീർത്ഥാടകർക്ക് താമസ സൗകര്യവും സഹായവും നൽകുന്നു. വിശ്രമത്തിനും ഹ്രസ്വകാല താമസത്തിനുമാണ് ഇത് പ്രധാനമായും ഉപയോഗിക്കുന്നത്. സൗകര്യങ്ങൾ ലളിതമാണ്. ഉപയോഗം സത്രം മാർഗ്ഗനിർദ്ദേശങ്ങൾ പാലിക്കുന്നു.</v>
      </c>
    </row>
    <row r="107">
      <c r="A107" s="6">
        <f t="shared" si="1"/>
        <v>106</v>
      </c>
      <c r="B107" s="6" t="s">
        <v>401</v>
      </c>
      <c r="C107" s="6">
        <v>16.0722662</v>
      </c>
      <c r="D107" s="6">
        <v>78.873157</v>
      </c>
      <c r="E107" s="8" t="s">
        <v>310</v>
      </c>
      <c r="F107" s="8" t="s">
        <v>402</v>
      </c>
      <c r="G107" s="8" t="s">
        <v>403</v>
      </c>
      <c r="H107" s="8" t="s">
        <v>404</v>
      </c>
      <c r="I107" s="8" t="s">
        <v>405</v>
      </c>
      <c r="J107" s="8" t="s">
        <v>406</v>
      </c>
      <c r="K107" s="12" t="s">
        <v>407</v>
      </c>
      <c r="L107" s="10" t="str">
        <f>IFERROR(__xludf.DUMMYFUNCTION("GOOGLETRANSLATE(K107,""en"",""te"")"),"ఈ అన్నఛేత్రం భక్తులకు ప్రతిరోజూ ఉచిత భోజనాన్ని అందిస్తుంది. నిర్ణీత సమయాల్లో ఆహారం అందించబడుతుంది. ఈ సేవ యాత్రికులకు మరియు సందర్శకులకు మద్దతు ఇస్తుంది. దాతృత్వ సౌకర్యంగా నిర్వహించబడుతుంది.")</f>
        <v>ఈ అన్నఛేత్రం భక్తులకు ప్రతిరోజూ ఉచిత భోజనాన్ని అందిస్తుంది. నిర్ణీత సమయాల్లో ఆహారం అందించబడుతుంది. ఈ సేవ యాత్రికులకు మరియు సందర్శకులకు మద్దతు ఇస్తుంది. దాతృత్వ సౌకర్యంగా నిర్వహించబడుతుంది.</v>
      </c>
      <c r="M107" s="10" t="str">
        <f>IFERROR(__xludf.DUMMYFUNCTION("GOOGLETRANSLATE(K107,""en"",""hi"")"),"यह अन्नक्षेत्र प्रतिदिन श्रद्धालुओं को निशुल्क भोजन उपलब्ध कराता है। भोजन निश्चित समय पर परोसा जाता है। यह सेवा तीर्थयात्रियों और आगंतुकों के लिए सहायक है। इसका प्रबंधन एक धर्मार्थ संस्था के रूप में किया जाता है।")</f>
        <v>यह अन्नक्षेत्र प्रतिदिन श्रद्धालुओं को निशुल्क भोजन उपलब्ध कराता है। भोजन निश्चित समय पर परोसा जाता है। यह सेवा तीर्थयात्रियों और आगंतुकों के लिए सहायक है। इसका प्रबंधन एक धर्मार्थ संस्था के रूप में किया जाता है।</v>
      </c>
      <c r="N107" s="10" t="str">
        <f>IFERROR(__xludf.DUMMYFUNCTION("GOOGLETRANSLATE(K107,""en"",""ta"")"),"இந்த அன்னச்சேத்திரம் பக்தர்களுக்கு தினமும் இலவச உணவை வழங்குகிறது. உணவு குறிப்பிட்ட நேரங்களில் வழங்கப்படுகிறது. இந்த சேவை யாத்ரீகர்கள் மற்றும் பார்வையாளர்களை ஆதரிக்கிறது. ஒரு தொண்டு வசதியாக நிர்வகிக்கப்படுகிறது.")</f>
        <v>இந்த அன்னச்சேத்திரம் பக்தர்களுக்கு தினமும் இலவச உணவை வழங்குகிறது. உணவு குறிப்பிட்ட நேரங்களில் வழங்கப்படுகிறது. இந்த சேவை யாத்ரீகர்கள் மற்றும் பார்வையாளர்களை ஆதரிக்கிறது. ஒரு தொண்டு வசதியாக நிர்வகிக்கப்படுகிறது.</v>
      </c>
      <c r="O107" s="10" t="str">
        <f>IFERROR(__xludf.DUMMYFUNCTION("GOOGLETRANSLATE(K107,""en"",""kn"")"),"ಈ ಅನ್ನಛೇತ್ರವು ಪ್ರತಿದಿನ ಭಕ್ತರಿಗೆ ಉಚಿತ ಊಟವನ್ನು ಒದಗಿಸುತ್ತದೆ. ನಿಗದಿತ ಸಮಯದಲ್ಲಿ ಆಹಾರವನ್ನು ನೀಡಲಾಗುತ್ತದೆ. ಈ ಸೇವೆಯು ಯಾತ್ರಿಕರು ಮತ್ತು ಸಂದರ್ಶಕರಿಗೆ ಬೆಂಬಲ ನೀಡುತ್ತದೆ. ದತ್ತಿ ಸೌಲಭ್ಯವಾಗಿ ನಿರ್ವಹಿಸಲ್ಪಡುತ್ತದೆ.")</f>
        <v>ಈ ಅನ್ನಛೇತ್ರವು ಪ್ರತಿದಿನ ಭಕ್ತರಿಗೆ ಉಚಿತ ಊಟವನ್ನು ಒದಗಿಸುತ್ತದೆ. ನಿಗದಿತ ಸಮಯದಲ್ಲಿ ಆಹಾರವನ್ನು ನೀಡಲಾಗುತ್ತದೆ. ಈ ಸೇವೆಯು ಯಾತ್ರಿಕರು ಮತ್ತು ಸಂದರ್ಶಕರಿಗೆ ಬೆಂಬಲ ನೀಡುತ್ತದೆ. ದತ್ತಿ ಸೌಲಭ್ಯವಾಗಿ ನಿರ್ವಹಿಸಲ್ಪಡುತ್ತದೆ.</v>
      </c>
      <c r="P107" s="10" t="str">
        <f>IFERROR(__xludf.DUMMYFUNCTION("GOOGLETRANSLATE(K107,""en"",""ml"")"),"ഈ അന്നഛേത്രം ഭക്തർക്ക് ദിവസവും സൗജന്യ ഭക്ഷണം നൽകുന്നു. നിശ്ചിത സമയങ്ങളിൽ ഭക്ഷണം വിളമ്പുന്നു. തീർത്ഥാടകരെയും സന്ദർശകരെയും പിന്തുണയ്ക്കുന്ന സേവനം. ഒരു ചാരിറ്റബിൾ സൗകര്യമായിട്ടാണ് ഇത് കൈകാര്യം ചെയ്യുന്നത്.")</f>
        <v>ഈ അന്നഛേത്രം ഭക്തർക്ക് ദിവസവും സൗജന്യ ഭക്ഷണം നൽകുന്നു. നിശ്ചിത സമയങ്ങളിൽ ഭക്ഷണം വിളമ്പുന്നു. തീർത്ഥാടകരെയും സന്ദർശകരെയും പിന്തുണയ്ക്കുന്ന സേവനം. ഒരു ചാരിറ്റബിൾ സൗകര്യമായിട്ടാണ് ഇത് കൈകാര്യം ചെയ്യുന്നത്.</v>
      </c>
    </row>
    <row r="108">
      <c r="A108" s="6">
        <f t="shared" si="1"/>
        <v>107</v>
      </c>
      <c r="B108" s="6" t="s">
        <v>301</v>
      </c>
      <c r="C108" s="6">
        <v>16.0722951</v>
      </c>
      <c r="D108" s="6">
        <v>78.8739676</v>
      </c>
      <c r="E108" s="8" t="s">
        <v>310</v>
      </c>
      <c r="F108" s="8" t="s">
        <v>408</v>
      </c>
      <c r="G108" s="8" t="s">
        <v>409</v>
      </c>
      <c r="H108" s="8" t="s">
        <v>410</v>
      </c>
      <c r="I108" s="8" t="s">
        <v>411</v>
      </c>
      <c r="J108" s="8" t="s">
        <v>412</v>
      </c>
      <c r="K108" s="12" t="s">
        <v>413</v>
      </c>
      <c r="L108" s="10" t="str">
        <f>IFERROR(__xludf.DUMMYFUNCTION("GOOGLETRANSLATE(K108,""en"",""te"")"),"కర్ణభక్తుల సేవాసదన్ భక్తులకు సేవా సౌకర్యాలను అందిస్తుంది. ఇది బస లేదా భోజన సంబంధిత సేవలకు మద్దతు ఇస్తుంది. కార్యకలాపాలు లభ్యతపై ఆధారపడి ఉంటాయి. ప్రవేశం నిర్వహణ నియమాలను అనుసరిస్తుంది.")</f>
        <v>కర్ణభక్తుల సేవాసదన్ భక్తులకు సేవా సౌకర్యాలను అందిస్తుంది. ఇది బస లేదా భోజన సంబంధిత సేవలకు మద్దతు ఇస్తుంది. కార్యకలాపాలు లభ్యతపై ఆధారపడి ఉంటాయి. ప్రవేశం నిర్వహణ నియమాలను అనుసరిస్తుంది.</v>
      </c>
      <c r="M108" s="10" t="str">
        <f>IFERROR(__xludf.DUMMYFUNCTION("GOOGLETRANSLATE(K108,""en"",""hi"")"),"कर्णभक्तुला सेवा सदन भक्तों के लिए सेवा सुविधाएं प्रदान करता है। यह आवास और भोजन संबंधी सेवाएं प्रदान करता है। संचालन उपलब्धता पर निर्भर करता है। प्रवेश प्रबंधन के नियमों के अनुसार होता है।")</f>
        <v>कर्णभक्तुला सेवा सदन भक्तों के लिए सेवा सुविधाएं प्रदान करता है। यह आवास और भोजन संबंधी सेवाएं प्रदान करता है। संचालन उपलब्धता पर निर्भर करता है। प्रवेश प्रबंधन के नियमों के अनुसार होता है।</v>
      </c>
      <c r="N108" s="10" t="str">
        <f>IFERROR(__xludf.DUMMYFUNCTION("GOOGLETRANSLATE(K108,""en"",""ta"")"),"கர்ணபக்துலா சேவாசதன் பக்தர்களுக்கு சேவை வசதிகளை வழங்குகிறது. இது தங்குமிடம் அல்லது உணவு தொடர்பான சேவைகளை ஆதரிக்கிறது. செயல்பாடுகள் கிடைக்கும் தன்மையைப் பொறுத்தது. நுழைவு நிர்வாக விதிகளைப் பின்பற்றுகிறது.")</f>
        <v>கர்ணபக்துலா சேவாசதன் பக்தர்களுக்கு சேவை வசதிகளை வழங்குகிறது. இது தங்குமிடம் அல்லது உணவு தொடர்பான சேவைகளை ஆதரிக்கிறது. செயல்பாடுகள் கிடைக்கும் தன்மையைப் பொறுத்தது. நுழைவு நிர்வாக விதிகளைப் பின்பற்றுகிறது.</v>
      </c>
      <c r="O108" s="10" t="str">
        <f>IFERROR(__xludf.DUMMYFUNCTION("GOOGLETRANSLATE(K108,""en"",""kn"")"),"ಕರ್ಣಭಕ್ತುಲ ಸೇವಾಸದನವು ಭಕ್ತರಿಗೆ ಸೇವಾ ಸೌಲಭ್ಯಗಳನ್ನು ನೀಡುತ್ತದೆ. ಇದು ವಸತಿ ಅಥವಾ ಊಟಕ್ಕೆ ಸಂಬಂಧಿಸಿದ ಸೇವೆಗಳನ್ನು ಬೆಂಬಲಿಸುತ್ತದೆ. ಕಾರ್ಯಾಚರಣೆಗಳು ಲಭ್ಯತೆಯನ್ನು ಅವಲಂಬಿಸಿರುತ್ತದೆ. ಪ್ರವೇಶವು ನಿರ್ವಹಣಾ ನಿಯಮಗಳನ್ನು ಅನುಸರಿಸುತ್ತದೆ.")</f>
        <v>ಕರ್ಣಭಕ್ತುಲ ಸೇವಾಸದನವು ಭಕ್ತರಿಗೆ ಸೇವಾ ಸೌಲಭ್ಯಗಳನ್ನು ನೀಡುತ್ತದೆ. ಇದು ವಸತಿ ಅಥವಾ ಊಟಕ್ಕೆ ಸಂಬಂಧಿಸಿದ ಸೇವೆಗಳನ್ನು ಬೆಂಬಲಿಸುತ್ತದೆ. ಕಾರ್ಯಾಚರಣೆಗಳು ಲಭ್ಯತೆಯನ್ನು ಅವಲಂಬಿಸಿರುತ್ತದೆ. ಪ್ರವೇಶವು ನಿರ್ವಹಣಾ ನಿಯಮಗಳನ್ನು ಅನುಸರಿಸುತ್ತದೆ.</v>
      </c>
      <c r="P108" s="10" t="str">
        <f>IFERROR(__xludf.DUMMYFUNCTION("GOOGLETRANSLATE(K108,""en"",""ml"")"),"കർണഭക്തുല സേവാസദൻ ഭക്തർക്ക് സേവന സൗകര്യങ്ങൾ വാഗ്ദാനം ചെയ്യുന്നു. താമസം അല്ലെങ്കിൽ ഭക്ഷണവുമായി ബന്ധപ്പെട്ട സേവനങ്ങളെ ഇത് പിന്തുണയ്ക്കുന്നു. പ്രവർത്തനങ്ങൾ ലഭ്യതയെ ആശ്രയിച്ചിരിക്കുന്നു. പ്രവേശനം മാനേജ്മെന്റ് നിയമങ്ങൾ പാലിക്കുന്നു.")</f>
        <v>കർണഭക്തുല സേവാസദൻ ഭക്തർക്ക് സേവന സൗകര്യങ്ങൾ വാഗ്ദാനം ചെയ്യുന്നു. താമസം അല്ലെങ്കിൽ ഭക്ഷണവുമായി ബന്ധപ്പെട്ട സേവനങ്ങളെ ഇത് പിന്തുണയ്ക്കുന്നു. പ്രവർത്തനങ്ങൾ ലഭ്യതയെ ആശ്രയിച്ചിരിക്കുന്നു. പ്രവേശനം മാനേജ്മെന്റ് നിയമങ്ങൾ പാലിക്കുന്നു.</v>
      </c>
    </row>
    <row r="109">
      <c r="A109" s="6">
        <f t="shared" si="1"/>
        <v>108</v>
      </c>
      <c r="B109" s="6" t="s">
        <v>414</v>
      </c>
      <c r="C109" s="6">
        <v>16.0784169</v>
      </c>
      <c r="D109" s="6">
        <v>78.8609285</v>
      </c>
      <c r="E109" s="8" t="s">
        <v>310</v>
      </c>
      <c r="F109" s="8" t="s">
        <v>415</v>
      </c>
      <c r="G109" s="8" t="s">
        <v>416</v>
      </c>
      <c r="H109" s="8" t="s">
        <v>417</v>
      </c>
      <c r="I109" s="8" t="s">
        <v>418</v>
      </c>
      <c r="J109" s="8" t="s">
        <v>419</v>
      </c>
      <c r="K109" s="12" t="s">
        <v>420</v>
      </c>
      <c r="L109" s="10" t="str">
        <f>IFERROR(__xludf.DUMMYFUNCTION("GOOGLETRANSLATE(K109,""en"",""te"")"),"ఈ ఆశ్రమం ఆధ్యాత్మిక కార్యకలాపాలకు ఒక మతపరమైన కేంద్రం. ఇది భక్తులు మరియు నివాసితులకు మద్దతు ఇస్తుంది. రోజువారీ దినచర్యలు నిర్వహించబడతాయి. సందర్శకుల ప్రవేశం అనుమతికి లోబడి ఉంటుంది.")</f>
        <v>ఈ ఆశ్రమం ఆధ్యాత్మిక కార్యకలాపాలకు ఒక మతపరమైన కేంద్రం. ఇది భక్తులు మరియు నివాసితులకు మద్దతు ఇస్తుంది. రోజువారీ దినచర్యలు నిర్వహించబడతాయి. సందర్శకుల ప్రవేశం అనుమతికి లోబడి ఉంటుంది.</v>
      </c>
      <c r="M109" s="10" t="str">
        <f>IFERROR(__xludf.DUMMYFUNCTION("GOOGLETRANSLATE(K109,""en"",""hi"")"),"यह आश्रम आध्यात्मिक गतिविधियों का एक धार्मिक केंद्र है। यह भक्तों और निवासियों का सहयोग करता है। यहाँ दैनिक दिनचर्या का पालन किया जाता है। आगंतुकों के प्रवेश के लिए अनुमति आवश्यक है।")</f>
        <v>यह आश्रम आध्यात्मिक गतिविधियों का एक धार्मिक केंद्र है। यह भक्तों और निवासियों का सहयोग करता है। यहाँ दैनिक दिनचर्या का पालन किया जाता है। आगंतुकों के प्रवेश के लिए अनुमति आवश्यक है।</v>
      </c>
      <c r="N109" s="10" t="str">
        <f>IFERROR(__xludf.DUMMYFUNCTION("GOOGLETRANSLATE(K109,""en"",""ta"")"),"இந்த ஆசிரமம் ஆன்மீக நடவடிக்கைகளுக்கான ஒரு மத மையமாகும். இது பக்தர்களையும் குடியிருப்பாளர்களையும் ஆதரிக்கிறது. தினசரி வழக்கங்கள் பராமரிக்கப்படுகின்றன. பார்வையாளர் அணுகல் அனுமதிக்கு உட்பட்டது.")</f>
        <v>இந்த ஆசிரமம் ஆன்மீக நடவடிக்கைகளுக்கான ஒரு மத மையமாகும். இது பக்தர்களையும் குடியிருப்பாளர்களையும் ஆதரிக்கிறது. தினசரி வழக்கங்கள் பராமரிக்கப்படுகின்றன. பார்வையாளர் அணுகல் அனுமதிக்கு உட்பட்டது.</v>
      </c>
      <c r="O109" s="10" t="str">
        <f>IFERROR(__xludf.DUMMYFUNCTION("GOOGLETRANSLATE(K109,""en"",""kn"")"),"ಈ ಆಶ್ರಮವು ಆಧ್ಯಾತ್ಮಿಕ ಚಟುವಟಿಕೆಗಳಿಗೆ ಧಾರ್ಮಿಕ ಕೇಂದ್ರವಾಗಿದೆ. ಇದು ಭಕ್ತರು ಮತ್ತು ನಿವಾಸಿಗಳಿಗೆ ಬೆಂಬಲ ನೀಡುತ್ತದೆ. ದೈನಂದಿನ ದಿನಚರಿಗಳನ್ನು ನಿರ್ವಹಿಸಲಾಗುತ್ತದೆ. ಸಂದರ್ಶಕರ ಪ್ರವೇಶವು ಅನುಮತಿಗೆ ಒಳಪಟ್ಟಿರುತ್ತದೆ.")</f>
        <v>ಈ ಆಶ್ರಮವು ಆಧ್ಯಾತ್ಮಿಕ ಚಟುವಟಿಕೆಗಳಿಗೆ ಧಾರ್ಮಿಕ ಕೇಂದ್ರವಾಗಿದೆ. ಇದು ಭಕ್ತರು ಮತ್ತು ನಿವಾಸಿಗಳಿಗೆ ಬೆಂಬಲ ನೀಡುತ್ತದೆ. ದೈನಂದಿನ ದಿನಚರಿಗಳನ್ನು ನಿರ್ವಹಿಸಲಾಗುತ್ತದೆ. ಸಂದರ್ಶಕರ ಪ್ರವೇಶವು ಅನುಮತಿಗೆ ಒಳಪಟ್ಟಿರುತ್ತದೆ.</v>
      </c>
      <c r="P109" s="10" t="str">
        <f>IFERROR(__xludf.DUMMYFUNCTION("GOOGLETRANSLATE(K109,""en"",""ml"")"),"ഈ ആശ്രമം ആത്മീയ പ്രവർത്തനങ്ങൾക്കുള്ള ഒരു മതകേന്ദ്രമാണ്. ഭക്തരെയും താമസക്കാരെയും ഇത് സഹായിക്കുന്നു. ദൈനംദിന ദിനചര്യകൾ പാലിക്കുന്നു. സന്ദർശകർക്ക് പ്രവേശനം അനുമതിക്ക് വിധേയമാണ്.")</f>
        <v>ഈ ആശ്രമം ആത്മീയ പ്രവർത്തനങ്ങൾക്കുള്ള ഒരു മതകേന്ദ്രമാണ്. ഭക്തരെയും താമസക്കാരെയും ഇത് സഹായിക്കുന്നു. ദൈനംദിന ദിനചര്യകൾ പാലിക്കുന്നു. സന്ദർശകർക്ക് പ്രവേശനം അനുമതിക്ക് വിധേയമാണ്.</v>
      </c>
    </row>
    <row r="110">
      <c r="A110" s="6">
        <f t="shared" si="1"/>
        <v>109</v>
      </c>
      <c r="B110" s="6" t="s">
        <v>421</v>
      </c>
      <c r="C110" s="6">
        <v>16.0766025</v>
      </c>
      <c r="D110" s="6">
        <v>78.8631402</v>
      </c>
      <c r="E110" s="8" t="s">
        <v>310</v>
      </c>
      <c r="F110" s="10" t="str">
        <f>IFERROR(__xludf.DUMMYFUNCTION("GOOGLETRANSLATE(B110,""en"",""te"")"),"రుద్రాక్ష మఠం")</f>
        <v>రుద్రాక్ష మఠం</v>
      </c>
      <c r="G110" s="10" t="str">
        <f>IFERROR(__xludf.DUMMYFUNCTION("GOOGLETRANSLATE(B110,""en"",""hi"")"),"रुद्राक्ष मठ")</f>
        <v>रुद्राक्ष मठ</v>
      </c>
      <c r="H110" s="10" t="str">
        <f>IFERROR(__xludf.DUMMYFUNCTION("GOOGLETRANSLATE(B110,""en"",""ta"")"),"ருத்ராட்ச மடம்")</f>
        <v>ருத்ராட்ச மடம்</v>
      </c>
      <c r="I110" s="10" t="str">
        <f>IFERROR(__xludf.DUMMYFUNCTION("GOOGLETRANSLATE(B110,""en"",""kn"")"),"ರುದ್ರಾಕ್ಷ ಮಠ")</f>
        <v>ರುದ್ರಾಕ್ಷ ಮಠ</v>
      </c>
      <c r="J110" s="10" t="str">
        <f>IFERROR(__xludf.DUMMYFUNCTION("GOOGLETRANSLATE(B110,""en"",""ml"")"),"രുദ്രാക്ഷമഠം")</f>
        <v>രുദ്രാക്ഷമഠം</v>
      </c>
      <c r="K110" s="12" t="s">
        <v>422</v>
      </c>
      <c r="L110" s="10" t="str">
        <f>IFERROR(__xludf.DUMMYFUNCTION("GOOGLETRANSLATE(K110,""en"",""te"")"),"రుద్రాక్ష మఠం శ్రీశైలం ప్రాంతంలో ఉన్న ఒక మతపరమైన మఠం. ఇది ఆధ్యాత్మిక కార్యకలాపాలకు మరియు భక్తులకు విశ్రాంతి స్థలంగా ఉపయోగపడుతుంది. నివాసితులు రోజువారీ దినచర్యలను అనుసరిస్తారు. సందర్శకుల ప్రవేశం సాధారణంగా పరిమితంగా ఉంటుంది.")</f>
        <v>రుద్రాక్ష మఠం శ్రీశైలం ప్రాంతంలో ఉన్న ఒక మతపరమైన మఠం. ఇది ఆధ్యాత్మిక కార్యకలాపాలకు మరియు భక్తులకు విశ్రాంతి స్థలంగా ఉపయోగపడుతుంది. నివాసితులు రోజువారీ దినచర్యలను అనుసరిస్తారు. సందర్శకుల ప్రవేశం సాధారణంగా పరిమితంగా ఉంటుంది.</v>
      </c>
      <c r="M110" s="10" t="str">
        <f>IFERROR(__xludf.DUMMYFUNCTION("GOOGLETRANSLATE(K110,""en"",""hi"")"),"रुद्राक्ष मठ श्रीशैलम क्षेत्र में स्थित एक धार्मिक मठ है। यह भक्तों के लिए आध्यात्मिक गतिविधियों और विश्राम का स्थान है। यहां के निवासी नियमित दिनचर्या का पालन करते हैं। आगंतुकों का प्रवेश आमतौर पर सीमित होता है।")</f>
        <v>रुद्राक्ष मठ श्रीशैलम क्षेत्र में स्थित एक धार्मिक मठ है। यह भक्तों के लिए आध्यात्मिक गतिविधियों और विश्राम का स्थान है। यहां के निवासी नियमित दिनचर्या का पालन करते हैं। आगंतुकों का प्रवेश आमतौर पर सीमित होता है।</v>
      </c>
      <c r="N110" s="10" t="str">
        <f>IFERROR(__xludf.DUMMYFUNCTION("GOOGLETRANSLATE(K110,""en"",""ta"")"),"ருத்ராட்ச மடம் என்பது ஸ்ரீசைலம் பகுதியில் அமைந்துள்ள ஒரு மத மடாலயமாகும். இது பக்தர்களுக்கு ஆன்மீக நடவடிக்கைகள் மற்றும் ஓய்வுக்கான இடமாக செயல்படுகிறது. குடியிருப்பாளர்கள் தினசரி வழக்கங்களைப் பின்பற்றுகிறார்கள். பார்வையாளர் அணுகல் பொதுவாக குறைவாகவே இருக்கும"&amp;"்.")</f>
        <v>ருத்ராட்ச மடம் என்பது ஸ்ரீசைலம் பகுதியில் அமைந்துள்ள ஒரு மத மடாலயமாகும். இது பக்தர்களுக்கு ஆன்மீக நடவடிக்கைகள் மற்றும் ஓய்வுக்கான இடமாக செயல்படுகிறது. குடியிருப்பாளர்கள் தினசரி வழக்கங்களைப் பின்பற்றுகிறார்கள். பார்வையாளர் அணுகல் பொதுவாக குறைவாகவே இருக்கும்.</v>
      </c>
      <c r="O110" s="10" t="str">
        <f>IFERROR(__xludf.DUMMYFUNCTION("GOOGLETRANSLATE(K110,""en"",""kn"")"),"ರುದ್ರಾಕ್ಷ ಮಠವು ಶ್ರೀಶೈಲಂ ಪ್ರದೇಶದಲ್ಲಿರುವ ಒಂದು ಧಾರ್ಮಿಕ ಮಠವಾಗಿದೆ. ಇದು ಭಕ್ತರಿಗೆ ಆಧ್ಯಾತ್ಮಿಕ ಚಟುವಟಿಕೆಗಳು ಮತ್ತು ವಿಶ್ರಾಂತಿ ಸ್ಥಳವಾಗಿ ಕಾರ್ಯನಿರ್ವಹಿಸುತ್ತದೆ. ನಿವಾಸಿಗಳು ದೈನಂದಿನ ದಿನಚರಿಗಳನ್ನು ಅನುಸರಿಸುತ್ತಾರೆ. ಸಂದರ್ಶಕರ ಪ್ರವೇಶವು ಸಾಮಾನ್ಯವಾಗಿ ಸೀಮಿತವಾಗಿರುತ್ತದೆ.")</f>
        <v>ರುದ್ರಾಕ್ಷ ಮಠವು ಶ್ರೀಶೈಲಂ ಪ್ರದೇಶದಲ್ಲಿರುವ ಒಂದು ಧಾರ್ಮಿಕ ಮಠವಾಗಿದೆ. ಇದು ಭಕ್ತರಿಗೆ ಆಧ್ಯಾತ್ಮಿಕ ಚಟುವಟಿಕೆಗಳು ಮತ್ತು ವಿಶ್ರಾಂತಿ ಸ್ಥಳವಾಗಿ ಕಾರ್ಯನಿರ್ವಹಿಸುತ್ತದೆ. ನಿವಾಸಿಗಳು ದೈನಂದಿನ ದಿನಚರಿಗಳನ್ನು ಅನುಸರಿಸುತ್ತಾರೆ. ಸಂದರ್ಶಕರ ಪ್ರವೇಶವು ಸಾಮಾನ್ಯವಾಗಿ ಸೀಮಿತವಾಗಿರುತ್ತದೆ.</v>
      </c>
      <c r="P110" s="10" t="str">
        <f>IFERROR(__xludf.DUMMYFUNCTION("GOOGLETRANSLATE(K110,""en"",""ml"")"),"ശ്രീശൈലം പ്രദേശത്ത് സ്ഥിതി ചെയ്യുന്ന ഒരു മതപരമായ ആശ്രമമാണ് രുദ്രാക്ഷമഠം. ഭക്തർക്ക് ആത്മീയ പ്രവർത്തനങ്ങൾക്കും വിശ്രമത്തിനുമുള്ള ഒരു സ്ഥലമാണിത്. താമസക്കാർ ദൈനംദിന ദിനചര്യകൾ പാലിക്കുന്നു. സന്ദർശക പ്രവേശനം സാധാരണയായി പരിമിതമാണ്.")</f>
        <v>ശ്രീശൈലം പ്രദേശത്ത് സ്ഥിതി ചെയ്യുന്ന ഒരു മതപരമായ ആശ്രമമാണ് രുദ്രാക്ഷമഠം. ഭക്തർക്ക് ആത്മീയ പ്രവർത്തനങ്ങൾക്കും വിശ്രമത്തിനുമുള്ള ഒരു സ്ഥലമാണിത്. താമസക്കാർ ദൈനംദിന ദിനചര്യകൾ പാലിക്കുന്നു. സന്ദർശക പ്രവേശനം സാധാരണയായി പരിമിതമാണ്.</v>
      </c>
    </row>
    <row r="111">
      <c r="A111" s="6">
        <f t="shared" si="1"/>
        <v>110</v>
      </c>
      <c r="B111" s="6" t="s">
        <v>423</v>
      </c>
      <c r="C111" s="6">
        <v>16.0867662</v>
      </c>
      <c r="D111" s="6">
        <v>78.8965489</v>
      </c>
      <c r="E111" s="5" t="s">
        <v>424</v>
      </c>
      <c r="F111" s="11" t="str">
        <f>IFERROR(__xludf.DUMMYFUNCTION("GOOGLETRANSLATE(B111,""en"",""te"")"),"శ్రీశైలం ఆనకట్ట")</f>
        <v>శ్రీశైలం ఆనకట్ట</v>
      </c>
      <c r="G111" s="10" t="str">
        <f>IFERROR(__xludf.DUMMYFUNCTION("GOOGLETRANSLATE(B111,""en"",""hi"")"),"श्रीशैलम बांध")</f>
        <v>श्रीशैलम बांध</v>
      </c>
      <c r="H111" s="10" t="str">
        <f>IFERROR(__xludf.DUMMYFUNCTION("GOOGLETRANSLATE(B111,""en"",""ta"")"),"ஸ்ரீசைலம் அணை")</f>
        <v>ஸ்ரீசைலம் அணை</v>
      </c>
      <c r="I111" s="10" t="str">
        <f>IFERROR(__xludf.DUMMYFUNCTION("GOOGLETRANSLATE(B111,""en"",""kn"")"),"ಶ್ರೀಶೈಲಂ ಅಣೆಕಟ್ಟು")</f>
        <v>ಶ್ರೀಶೈಲಂ ಅಣೆಕಟ್ಟು</v>
      </c>
      <c r="J111" s="10" t="str">
        <f>IFERROR(__xludf.DUMMYFUNCTION("GOOGLETRANSLATE(B111,""en"",""ml"")"),"ശ്രീശൈലം അണക്കെട്ട്")</f>
        <v>ശ്രീശൈലം അണക്കെട്ട്</v>
      </c>
      <c r="K111" s="12" t="s">
        <v>425</v>
      </c>
      <c r="L111" s="10" t="str">
        <f>IFERROR(__xludf.DUMMYFUNCTION("GOOGLETRANSLATE(K111,""en"",""te"")"),"శ్రీశైలం సమీపంలో కృష్ణ నదిపై నిర్మించిన ఒక పెద్ద జలవిద్యుత్ ఆనకట్ట. ఇది విద్యుత్ ఉత్పత్తి మరియు నీటి నిల్వలో కీలక పాత్ర పోషిస్తుంది. సందర్శకులు సాధారణంగా నియమించబడిన ప్రజా ప్రాంతాల నుండి మాత్రమే దీనిని చూస్తారు.")</f>
        <v>శ్రీశైలం సమీపంలో కృష్ణ నదిపై నిర్మించిన ఒక పెద్ద జలవిద్యుత్ ఆనకట్ట. ఇది విద్యుత్ ఉత్పత్తి మరియు నీటి నిల్వలో కీలక పాత్ర పోషిస్తుంది. సందర్శకులు సాధారణంగా నియమించబడిన ప్రజా ప్రాంతాల నుండి మాత్రమే దీనిని చూస్తారు.</v>
      </c>
      <c r="M111" s="10" t="str">
        <f>IFERROR(__xludf.DUMMYFUNCTION("GOOGLETRANSLATE(K111,""en"",""hi"")"),"श्रीशैलम के पास कृष्णा नदी पर बना एक विशाल जलविद्युत बांध। यह बिजली उत्पादन और जल भंडारण में महत्वपूर्ण भूमिका निभाता है। पर्यटक आमतौर पर इसे केवल निर्धारित सार्वजनिक क्षेत्रों से ही देख सकते हैं।")</f>
        <v>श्रीशैलम के पास कृष्णा नदी पर बना एक विशाल जलविद्युत बांध। यह बिजली उत्पादन और जल भंडारण में महत्वपूर्ण भूमिका निभाता है। पर्यटक आमतौर पर इसे केवल निर्धारित सार्वजनिक क्षेत्रों से ही देख सकते हैं।</v>
      </c>
      <c r="N111" s="10" t="str">
        <f>IFERROR(__xludf.DUMMYFUNCTION("GOOGLETRANSLATE(K111,""en"",""ta"")"),"ஸ்ரீசைலம் அருகே கிருஷ்ணா நதியின் குறுக்கே கட்டப்பட்ட ஒரு பெரிய நீர்மின் அணை. இது மின் உற்பத்தி மற்றும் நீர் சேமிப்பில் முக்கிய பங்கு வகிக்கிறது. பார்வையாளர்கள் வழக்கமாக நியமிக்கப்பட்ட பொது இடங்களில் இருந்து மட்டுமே இதைப் பார்ப்பார்கள்.")</f>
        <v>ஸ்ரீசைலம் அருகே கிருஷ்ணா நதியின் குறுக்கே கட்டப்பட்ட ஒரு பெரிய நீர்மின் அணை. இது மின் உற்பத்தி மற்றும் நீர் சேமிப்பில் முக்கிய பங்கு வகிக்கிறது. பார்வையாளர்கள் வழக்கமாக நியமிக்கப்பட்ட பொது இடங்களில் இருந்து மட்டுமே இதைப் பார்ப்பார்கள்.</v>
      </c>
      <c r="O111" s="10" t="str">
        <f>IFERROR(__xludf.DUMMYFUNCTION("GOOGLETRANSLATE(K111,""en"",""kn"")"),"ಶ್ರೀಶೈಲಂ ಬಳಿ ಕೃಷ್ಣಾ ನದಿಗೆ ಅಡ್ಡಲಾಗಿ ನಿರ್ಮಿಸಲಾದ ದೊಡ್ಡ ಜಲವಿದ್ಯುತ್ ಅಣೆಕಟ್ಟು. ಇದು ವಿದ್ಯುತ್ ಉತ್ಪಾದನೆ ಮತ್ತು ನೀರಿನ ಸಂಗ್ರಹಣೆಯಲ್ಲಿ ಪ್ರಮುಖ ಪಾತ್ರ ವಹಿಸುತ್ತದೆ. ಸಂದರ್ಶಕರು ಸಾಮಾನ್ಯವಾಗಿ ಗೊತ್ತುಪಡಿಸಿದ ಸಾರ್ವಜನಿಕ ಪ್ರದೇಶಗಳಿಂದ ಮಾತ್ರ ಇದನ್ನು ವೀಕ್ಷಿಸುತ್ತಾರೆ.")</f>
        <v>ಶ್ರೀಶೈಲಂ ಬಳಿ ಕೃಷ್ಣಾ ನದಿಗೆ ಅಡ್ಡಲಾಗಿ ನಿರ್ಮಿಸಲಾದ ದೊಡ್ಡ ಜಲವಿದ್ಯುತ್ ಅಣೆಕಟ್ಟು. ಇದು ವಿದ್ಯುತ್ ಉತ್ಪಾದನೆ ಮತ್ತು ನೀರಿನ ಸಂಗ್ರಹಣೆಯಲ್ಲಿ ಪ್ರಮುಖ ಪಾತ್ರ ವಹಿಸುತ್ತದೆ. ಸಂದರ್ಶಕರು ಸಾಮಾನ್ಯವಾಗಿ ಗೊತ್ತುಪಡಿಸಿದ ಸಾರ್ವಜನಿಕ ಪ್ರದೇಶಗಳಿಂದ ಮಾತ್ರ ಇದನ್ನು ವೀಕ್ಷಿಸುತ್ತಾರೆ.</v>
      </c>
      <c r="P111" s="10" t="str">
        <f>IFERROR(__xludf.DUMMYFUNCTION("GOOGLETRANSLATE(K111,""en"",""ml"")"),"ശ്രീശൈലത്തിനടുത്ത് കൃഷ്ണ നദിക്ക് കുറുകെ നിർമ്മിച്ച ഒരു വലിയ ജലവൈദ്യുത അണക്കെട്ട്. വൈദ്യുതി ഉൽപാദനത്തിലും ജലസംഭരണത്തിലും ഇത് ഒരു പ്രധാന പങ്ക് വഹിക്കുന്നു. സാധാരണയായി സന്ദർശകർ ഇത് നിയുക്ത പൊതു ഇടങ്ങളിൽ നിന്ന് മാത്രമേ കാണൂ.")</f>
        <v>ശ്രീശൈലത്തിനടുത്ത് കൃഷ്ണ നദിക്ക് കുറുകെ നിർമ്മിച്ച ഒരു വലിയ ജലവൈദ്യുത അണക്കെട്ട്. വൈദ്യുതി ഉൽപാദനത്തിലും ജലസംഭരണത്തിലും ഇത് ഒരു പ്രധാന പങ്ക് വഹിക്കുന്നു. സാധാരണയായി സന്ദർശകർ ഇത് നിയുക്ത പൊതു ഇടങ്ങളിൽ നിന്ന് മാത്രമേ കാണൂ.</v>
      </c>
    </row>
    <row r="112">
      <c r="A112" s="6">
        <f t="shared" si="1"/>
        <v>111</v>
      </c>
      <c r="B112" s="6" t="s">
        <v>426</v>
      </c>
      <c r="C112" s="6">
        <v>16.0856883</v>
      </c>
      <c r="D112" s="6">
        <v>78.8995817</v>
      </c>
      <c r="E112" s="5" t="s">
        <v>424</v>
      </c>
      <c r="F112" s="11" t="str">
        <f>IFERROR(__xludf.DUMMYFUNCTION("GOOGLETRANSLATE(B112,""en"",""te"")"),"శ్రీశైలం ఆనకట్ట వ్యూ పాయింట్")</f>
        <v>శ్రీశైలం ఆనకట్ట వ్యూ పాయింట్</v>
      </c>
      <c r="G112" s="10" t="str">
        <f>IFERROR(__xludf.DUMMYFUNCTION("GOOGLETRANSLATE(B112,""en"",""hi"")"),"श्रीशैलम बांध व्यू पॉइंट")</f>
        <v>श्रीशैलम बांध व्यू पॉइंट</v>
      </c>
      <c r="H112" s="10" t="str">
        <f>IFERROR(__xludf.DUMMYFUNCTION("GOOGLETRANSLATE(B112,""en"",""ta"")"),"ஸ்ரீசைலம் அணை காட்சி முனை")</f>
        <v>ஸ்ரீசைலம் அணை காட்சி முனை</v>
      </c>
      <c r="I112" s="10" t="str">
        <f>IFERROR(__xludf.DUMMYFUNCTION("GOOGLETRANSLATE(B112,""en"",""kn"")"),"ಶ್ರೀಶೈಲಂ ಅಣೆಕಟ್ಟು ವೀಕ್ಷಣಾ ಸ್ಥಳ")</f>
        <v>ಶ್ರೀಶೈಲಂ ಅಣೆಕಟ್ಟು ವೀಕ್ಷಣಾ ಸ್ಥಳ</v>
      </c>
      <c r="J112" s="10" t="str">
        <f>IFERROR(__xludf.DUMMYFUNCTION("GOOGLETRANSLATE(B112,""en"",""ml"")"),"ശ്രീശൈലം ഡാം വ്യൂ പോയിന്റ്")</f>
        <v>ശ്രീശൈലം ഡാം വ്യൂ പോയിന്റ്</v>
      </c>
      <c r="K112" s="12" t="s">
        <v>427</v>
      </c>
      <c r="L112" s="10" t="str">
        <f>IFERROR(__xludf.DUMMYFUNCTION("GOOGLETRANSLATE(K112,""en"",""te"")"),"ఆనకట్ట నిర్మాణం యొక్క స్పష్టమైన దృశ్యాన్ని అందించే ప్రజా వీక్షణ ప్రాంతం. దీనిని సాధారణంగా దృశ్యాలు మరియు ఫోటోగ్రఫీ కోసం ఉపయోగిస్తారు. పగటిపూట సందర్శించడం ఉత్తమం.")</f>
        <v>ఆనకట్ట నిర్మాణం యొక్క స్పష్టమైన దృశ్యాన్ని అందించే ప్రజా వీక్షణ ప్రాంతం. దీనిని సాధారణంగా దృశ్యాలు మరియు ఫోటోగ్రఫీ కోసం ఉపయోగిస్తారు. పగటిపూట సందర్శించడం ఉత్తమం.</v>
      </c>
      <c r="M112" s="10" t="str">
        <f>IFERROR(__xludf.DUMMYFUNCTION("GOOGLETRANSLATE(K112,""en"",""hi"")"),"यह एक सार्वजनिक दर्शनीय स्थल है जहाँ से बांध की संरचना स्पष्ट रूप से दिखाई देती है। यहाँ आमतौर पर लोग घूमने और फोटोग्राफी के लिए आते हैं। यहाँ दिन के उजाले में आना सबसे अच्छा रहता है।")</f>
        <v>यह एक सार्वजनिक दर्शनीय स्थल है जहाँ से बांध की संरचना स्पष्ट रूप से दिखाई देती है। यहाँ आमतौर पर लोग घूमने और फोटोग्राफी के लिए आते हैं। यहाँ दिन के उजाले में आना सबसे अच्छा रहता है।</v>
      </c>
      <c r="N112" s="10" t="str">
        <f>IFERROR(__xludf.DUMMYFUNCTION("GOOGLETRANSLATE(K112,""en"",""ta"")"),"அணை அமைப்பை தெளிவாகக் காணக்கூடிய பொதுமக்கள் பார்வையிடும் பகுதி. இது பொதுவாக சுற்றிப் பார்ப்பதற்கும் புகைப்படம் எடுப்பதற்கும் பயன்படுத்தப்படுகிறது. பகல் நேரங்களில் பார்வையிடுவது சிறந்தது.")</f>
        <v>அணை அமைப்பை தெளிவாகக் காணக்கூடிய பொதுமக்கள் பார்வையிடும் பகுதி. இது பொதுவாக சுற்றிப் பார்ப்பதற்கும் புகைப்படம் எடுப்பதற்கும் பயன்படுத்தப்படுகிறது. பகல் நேரங்களில் பார்வையிடுவது சிறந்தது.</v>
      </c>
      <c r="O112" s="10" t="str">
        <f>IFERROR(__xludf.DUMMYFUNCTION("GOOGLETRANSLATE(K112,""en"",""kn"")"),"ಅಣೆಕಟ್ಟಿನ ರಚನೆಯ ಸ್ಪಷ್ಟ ನೋಟವನ್ನು ನೀಡುವ ಸಾರ್ವಜನಿಕ ವೀಕ್ಷಣಾ ಪ್ರದೇಶ. ಇದನ್ನು ಸಾಮಾನ್ಯವಾಗಿ ದೃಶ್ಯವೀಕ್ಷಣೆ ಮತ್ತು ಛಾಯಾಗ್ರಹಣಕ್ಕಾಗಿ ಬಳಸಲಾಗುತ್ತದೆ. ಹಗಲು ಹೊತ್ತಿನಲ್ಲಿ ಭೇಟಿ ನೀಡುವುದು ಉತ್ತಮ.")</f>
        <v>ಅಣೆಕಟ್ಟಿನ ರಚನೆಯ ಸ್ಪಷ್ಟ ನೋಟವನ್ನು ನೀಡುವ ಸಾರ್ವಜನಿಕ ವೀಕ್ಷಣಾ ಪ್ರದೇಶ. ಇದನ್ನು ಸಾಮಾನ್ಯವಾಗಿ ದೃಶ್ಯವೀಕ್ಷಣೆ ಮತ್ತು ಛಾಯಾಗ್ರಹಣಕ್ಕಾಗಿ ಬಳಸಲಾಗುತ್ತದೆ. ಹಗಲು ಹೊತ್ತಿನಲ್ಲಿ ಭೇಟಿ ನೀಡುವುದು ಉತ್ತಮ.</v>
      </c>
      <c r="P112" s="10" t="str">
        <f>IFERROR(__xludf.DUMMYFUNCTION("GOOGLETRANSLATE(K112,""en"",""ml"")"),"അണക്കെട്ടിന്റെ ഘടന വ്യക്തമായി കാണാൻ കഴിയുന്ന ഒരു പൊതു ദർശന സ്ഥലം. കാഴ്ചകൾ കാണുന്നതിനും ഫോട്ടോഗ്രാഫിക്കും ഇത് സാധാരണയായി ഉപയോഗിക്കുന്നു. പകൽ സമയങ്ങളിൽ സന്ദർശിക്കുന്നതാണ് ഏറ്റവും നല്ലത്.")</f>
        <v>അണക്കെട്ടിന്റെ ഘടന വ്യക്തമായി കാണാൻ കഴിയുന്ന ഒരു പൊതു ദർശന സ്ഥലം. കാഴ്ചകൾ കാണുന്നതിനും ഫോട്ടോഗ്രാഫിക്കും ഇത് സാധാരണയായി ഉപയോഗിക്കുന്നു. പകൽ സമയങ്ങളിൽ സന്ദർശിക്കുന്നതാണ് ഏറ്റവും നല്ലത്.</v>
      </c>
    </row>
    <row r="113">
      <c r="A113" s="6">
        <f t="shared" si="1"/>
        <v>112</v>
      </c>
      <c r="B113" s="6" t="s">
        <v>428</v>
      </c>
      <c r="C113" s="6">
        <v>16.0882365</v>
      </c>
      <c r="D113" s="6">
        <v>78.8953315</v>
      </c>
      <c r="E113" s="5" t="s">
        <v>424</v>
      </c>
      <c r="F113" s="11" t="str">
        <f>IFERROR(__xludf.DUMMYFUNCTION("GOOGLETRANSLATE(B113,""en"",""te"")"),"శ్రీశైలం ఆనకట్ట ప్రసిద్ధ వ్యూ పాయింట్")</f>
        <v>శ్రీశైలం ఆనకట్ట ప్రసిద్ధ వ్యూ పాయింట్</v>
      </c>
      <c r="G113" s="10" t="str">
        <f>IFERROR(__xludf.DUMMYFUNCTION("GOOGLETRANSLATE(B113,""en"",""hi"")"),"श्रीशैलम बांध का प्रसिद्ध दृश्य स्थल")</f>
        <v>श्रीशैलम बांध का प्रसिद्ध दृश्य स्थल</v>
      </c>
      <c r="H113" s="10" t="str">
        <f>IFERROR(__xludf.DUMMYFUNCTION("GOOGLETRANSLATE(B113,""en"",""ta"")"),"ஸ்ரீசைலம் அணையின் பிரபலமான காட்சி முனை")</f>
        <v>ஸ்ரீசைலம் அணையின் பிரபலமான காட்சி முனை</v>
      </c>
      <c r="I113" s="10" t="str">
        <f>IFERROR(__xludf.DUMMYFUNCTION("GOOGLETRANSLATE(B113,""en"",""kn"")"),"ಶ್ರೀಶೈಲಂ ಅಣೆಕಟ್ಟು ಪ್ರಸಿದ್ಧ ವೀಕ್ಷಣಾ ತಾಣ")</f>
        <v>ಶ್ರೀಶೈಲಂ ಅಣೆಕಟ್ಟು ಪ್ರಸಿದ್ಧ ವೀಕ್ಷಣಾ ತಾಣ</v>
      </c>
      <c r="J113" s="10" t="str">
        <f>IFERROR(__xludf.DUMMYFUNCTION("GOOGLETRANSLATE(B113,""en"",""ml"")"),"ശ്രീശൈലം ഡാം പ്രശസ്തമായ വ്യൂ പോയിന്റ്")</f>
        <v>ശ്രീശൈലം ഡാം പ്രശസ്തമായ വ്യൂ പോയിന്റ്</v>
      </c>
      <c r="K113" s="12" t="s">
        <v>429</v>
      </c>
      <c r="L113" s="10" t="str">
        <f>IFERROR(__xludf.DUMMYFUNCTION("GOOGLETRANSLATE(K113,""en"",""te"")"),"ఆనకట్ట మరియు చుట్టుపక్కల కొండల విస్తృత కోణ వీక్షణను అందించే ప్రసిద్ధ ప్రదేశం. దీనిని రోడ్డు ద్వారా చేరుకోవచ్చు మరియు రద్దీ సీజన్లలో తరచుగా రద్దీగా ఉంటుంది. భద్రతా రెయిలింగ్‌లు అందించబడతాయి.")</f>
        <v>ఆనకట్ట మరియు చుట్టుపక్కల కొండల విస్తృత కోణ వీక్షణను అందించే ప్రసిద్ధ ప్రదేశం. దీనిని రోడ్డు ద్వారా చేరుకోవచ్చు మరియు రద్దీ సీజన్లలో తరచుగా రద్దీగా ఉంటుంది. భద్రతా రెయిలింగ్‌లు అందించబడతాయి.</v>
      </c>
      <c r="M113" s="10" t="str">
        <f>IFERROR(__xludf.DUMMYFUNCTION("GOOGLETRANSLATE(K113,""en"",""hi"")"),"यह बांध और आसपास की पहाड़ियों का विस्तृत दृश्य प्रस्तुत करने वाला एक प्रसिद्ध स्थान है। यहां सड़क मार्ग से पहुंचा जा सकता है और व्यस्त मौसमों में अक्सर भीड़ रहती है। सुरक्षा के लिए रेलिंग की व्यवस्था की गई है।")</f>
        <v>यह बांध और आसपास की पहाड़ियों का विस्तृत दृश्य प्रस्तुत करने वाला एक प्रसिद्ध स्थान है। यहां सड़क मार्ग से पहुंचा जा सकता है और व्यस्त मौसमों में अक्सर भीड़ रहती है। सुरक्षा के लिए रेलिंग की व्यवस्था की गई है।</v>
      </c>
      <c r="N113" s="10" t="str">
        <f>IFERROR(__xludf.DUMMYFUNCTION("GOOGLETRANSLATE(K113,""en"",""ta"")"),"அணை மற்றும் சுற்றியுள்ள மலைகளின் பரந்த கோணக் காட்சியை வழங்கும் நன்கு அறியப்பட்ட இடம். சாலை வழியாக அணுகக்கூடியது மற்றும் உச்ச பருவங்களில் பெரும்பாலும் கூட்ட நெரிசல் ஏற்படுகிறது. பாதுகாப்பு தடுப்புகள் வழங்கப்பட்டுள்ளன.")</f>
        <v>அணை மற்றும் சுற்றியுள்ள மலைகளின் பரந்த கோணக் காட்சியை வழங்கும் நன்கு அறியப்பட்ட இடம். சாலை வழியாக அணுகக்கூடியது மற்றும் உச்ச பருவங்களில் பெரும்பாலும் கூட்ட நெரிசல் ஏற்படுகிறது. பாதுகாப்பு தடுப்புகள் வழங்கப்பட்டுள்ளன.</v>
      </c>
      <c r="O113" s="10" t="str">
        <f>IFERROR(__xludf.DUMMYFUNCTION("GOOGLETRANSLATE(K113,""en"",""kn"")"),"ಅಣೆಕಟ್ಟು ಮತ್ತು ಸುತ್ತಮುತ್ತಲಿನ ಬೆಟ್ಟಗಳ ವಿಶಾಲ ನೋಟವನ್ನು ಒದಗಿಸುವ ಪ್ರಸಿದ್ಧ ಸ್ಥಳ. ಇದನ್ನು ರಸ್ತೆಯ ಮೂಲಕ ಪ್ರವೇಶಿಸಬಹುದು ಮತ್ತು ಪೀಕ್ ಸೀಸನ್‌ಗಳಲ್ಲಿ ಹೆಚ್ಚಾಗಿ ಜನದಟ್ಟಣೆ ಇರುತ್ತದೆ. ಸುರಕ್ಷತಾ ಬೇಲಿಗಳನ್ನು ಒದಗಿಸಲಾಗಿದೆ.")</f>
        <v>ಅಣೆಕಟ್ಟು ಮತ್ತು ಸುತ್ತಮುತ್ತಲಿನ ಬೆಟ್ಟಗಳ ವಿಶಾಲ ನೋಟವನ್ನು ಒದಗಿಸುವ ಪ್ರಸಿದ್ಧ ಸ್ಥಳ. ಇದನ್ನು ರಸ್ತೆಯ ಮೂಲಕ ಪ್ರವೇಶಿಸಬಹುದು ಮತ್ತು ಪೀಕ್ ಸೀಸನ್‌ಗಳಲ್ಲಿ ಹೆಚ್ಚಾಗಿ ಜನದಟ್ಟಣೆ ಇರುತ್ತದೆ. ಸುರಕ್ಷತಾ ಬೇಲಿಗಳನ್ನು ಒದಗಿಸಲಾಗಿದೆ.</v>
      </c>
      <c r="P113" s="10" t="str">
        <f>IFERROR(__xludf.DUMMYFUNCTION("GOOGLETRANSLATE(K113,""en"",""ml"")"),"അണക്കെട്ടിന്റെയും ചുറ്റുമുള്ള കുന്നുകളുടെയും വിശാലമായ കാഴ്ച പ്രദാനം ചെയ്യുന്ന ഒരു അറിയപ്പെടുന്ന സ്ഥലം. റോഡ് മാർഗം ഇവിടെ എത്തിച്ചേരാം, തിരക്കേറിയ സീസണുകളിൽ പലപ്പോഴും തിരക്കുണ്ടാകും. സുരക്ഷാ റെയിലിംഗുകൾ നൽകിയിട്ടുണ്ട്.")</f>
        <v>അണക്കെട്ടിന്റെയും ചുറ്റുമുള്ള കുന്നുകളുടെയും വിശാലമായ കാഴ്ച പ്രദാനം ചെയ്യുന്ന ഒരു അറിയപ്പെടുന്ന സ്ഥലം. റോഡ് മാർഗം ഇവിടെ എത്തിച്ചേരാം, തിരക്കേറിയ സീസണുകളിൽ പലപ്പോഴും തിരക്കുണ്ടാകും. സുരക്ഷാ റെയിലിംഗുകൾ നൽകിയിട്ടുണ്ട്.</v>
      </c>
    </row>
    <row r="114">
      <c r="A114" s="6">
        <f t="shared" si="1"/>
        <v>113</v>
      </c>
      <c r="B114" s="6" t="s">
        <v>430</v>
      </c>
      <c r="C114" s="6">
        <v>16.0869186</v>
      </c>
      <c r="D114" s="6">
        <v>78.896511</v>
      </c>
      <c r="E114" s="5" t="s">
        <v>424</v>
      </c>
      <c r="F114" s="11" t="str">
        <f>IFERROR(__xludf.DUMMYFUNCTION("GOOGLETRANSLATE(B114,""en"",""te"")"),"శ్రీశైలం జలాశయం వ్యూ పాయింట్")</f>
        <v>శ్రీశైలం జలాశయం వ్యూ పాయింట్</v>
      </c>
      <c r="G114" s="10" t="str">
        <f>IFERROR(__xludf.DUMMYFUNCTION("GOOGLETRANSLATE(B114,""en"",""hi"")"),"श्रीसैलम जलाशय दृश्य बिंदु")</f>
        <v>श्रीसैलम जलाशय दृश्य बिंदु</v>
      </c>
      <c r="H114" s="10" t="str">
        <f>IFERROR(__xludf.DUMMYFUNCTION("GOOGLETRANSLATE(B114,""en"",""ta"")"),"ஸ்ரீசைலம் நீர்த்தேக்கக் காட்சி முனை")</f>
        <v>ஸ்ரீசைலம் நீர்த்தேக்கக் காட்சி முனை</v>
      </c>
      <c r="I114" s="10" t="str">
        <f>IFERROR(__xludf.DUMMYFUNCTION("GOOGLETRANSLATE(B114,""en"",""kn"")"),"ಶ್ರೀಶೈಲಂ ಜಲಾಶಯದ ವೀಕ್ಷಣಾ ಸ್ಥಳ")</f>
        <v>ಶ್ರೀಶೈಲಂ ಜಲಾಶಯದ ವೀಕ್ಷಣಾ ಸ್ಥಳ</v>
      </c>
      <c r="J114" s="10" t="str">
        <f>IFERROR(__xludf.DUMMYFUNCTION("GOOGLETRANSLATE(B114,""en"",""ml"")"),"ശ്രീശൈലം റിസർവോയർ വ്യൂ പോയിന്റ്")</f>
        <v>ശ്രീശൈലം റിസർവോയർ വ്യൂ പോയിന്റ്</v>
      </c>
      <c r="K114" s="12" t="s">
        <v>431</v>
      </c>
      <c r="L114" s="10" t="str">
        <f>IFERROR(__xludf.DUMMYFUNCTION("GOOGLETRANSLATE(K114,""en"",""te"")"),"ఆనకట్ట వల్ల ఏర్పడిన నీటి జలాశయాన్ని చూసే దృక్కోణం. ఇది నిల్వ ఉన్న నీటిని మరియు సమీపంలోని అటవీ ప్రాంతాన్ని ప్రశాంతంగా వీక్షించడానికి వీలు కల్పిస్తుంది. చిన్న విరామాలకు అనుకూలం.")</f>
        <v>ఆనకట్ట వల్ల ఏర్పడిన నీటి జలాశయాన్ని చూసే దృక్కోణం. ఇది నిల్వ ఉన్న నీటిని మరియు సమీపంలోని అటవీ ప్రాంతాన్ని ప్రశాంతంగా వీక్షించడానికి వీలు కల్పిస్తుంది. చిన్న విరామాలకు అనుకూలం.</v>
      </c>
      <c r="M114" s="10" t="str">
        <f>IFERROR(__xludf.DUMMYFUNCTION("GOOGLETRANSLATE(K114,""en"",""hi"")"),"बांध द्वारा निर्मित जल भंडार को देखने के लिए एक दर्शनीय स्थल। यहाँ से संग्रहित जल और आसपास के वन क्षेत्र का शांत दृश्य दिखाई देता है। थोड़े समय के लिए रुकने के लिए उपयुक्त।")</f>
        <v>बांध द्वारा निर्मित जल भंडार को देखने के लिए एक दर्शनीय स्थल। यहाँ से संग्रहित जल और आसपास के वन क्षेत्र का शांत दृश्य दिखाई देता है। थोड़े समय के लिए रुकने के लिए उपयुक्त।</v>
      </c>
      <c r="N114" s="10" t="str">
        <f>IFERROR(__xludf.DUMMYFUNCTION("GOOGLETRANSLATE(K114,""en"",""ta"")"),"அணையால் உருவாக்கப்பட்ட நீர் தேக்கத்தைப் பார்க்கும் ஒரு காட்சித் தளம். இது சேமிக்கப்பட்ட நீர் மற்றும் அருகிலுள்ள காட்டுப் பகுதியின் அமைதியான காட்சியை வழங்குகிறது. குறுகிய நிறுத்தங்களுக்கு ஏற்றது.")</f>
        <v>அணையால் உருவாக்கப்பட்ட நீர் தேக்கத்தைப் பார்க்கும் ஒரு காட்சித் தளம். இது சேமிக்கப்பட்ட நீர் மற்றும் அருகிலுள்ள காட்டுப் பகுதியின் அமைதியான காட்சியை வழங்குகிறது. குறுகிய நிறுத்தங்களுக்கு ஏற்றது.</v>
      </c>
      <c r="O114" s="10" t="str">
        <f>IFERROR(__xludf.DUMMYFUNCTION("GOOGLETRANSLATE(K114,""en"",""kn"")"),"ಅಣೆಕಟ್ಟಿನಿಂದ ರೂಪುಗೊಂಡ ನೀರಿನ ಜಲಾಶಯವನ್ನು ನೋಡುತ್ತಿರುವ ವೀಕ್ಷಣಾ ತಾಣ. ಇದು ಸಂಗ್ರಹವಾಗಿರುವ ನೀರು ಮತ್ತು ಹತ್ತಿರದ ಅರಣ್ಯ ಪ್ರದೇಶದ ಶಾಂತ ನೋಟವನ್ನು ನೀಡುತ್ತದೆ. ಸಣ್ಣ ನಿಲುಗಡೆಗಳಿಗೆ ಸೂಕ್ತವಾಗಿದೆ.")</f>
        <v>ಅಣೆಕಟ್ಟಿನಿಂದ ರೂಪುಗೊಂಡ ನೀರಿನ ಜಲಾಶಯವನ್ನು ನೋಡುತ್ತಿರುವ ವೀಕ್ಷಣಾ ತಾಣ. ಇದು ಸಂಗ್ರಹವಾಗಿರುವ ನೀರು ಮತ್ತು ಹತ್ತಿರದ ಅರಣ್ಯ ಪ್ರದೇಶದ ಶಾಂತ ನೋಟವನ್ನು ನೀಡುತ್ತದೆ. ಸಣ್ಣ ನಿಲುಗಡೆಗಳಿಗೆ ಸೂಕ್ತವಾಗಿದೆ.</v>
      </c>
      <c r="P114" s="10" t="str">
        <f>IFERROR(__xludf.DUMMYFUNCTION("GOOGLETRANSLATE(K114,""en"",""ml"")"),"അണക്കെട്ടിനാൽ രൂപപ്പെട്ട ജലസംഭരണിക്ക് മുകളിലുള്ള ഒരു വ്യൂപോയിന്റ്. സംഭരിച്ചിരിക്കുന്ന വെള്ളത്തിന്റെയും സമീപ വനപ്രദേശത്തിന്റെയും ശാന്തമായ കാഴ്ച ഇത് നൽകുന്നു. ചെറിയ ഇടവേളകൾക്ക് അനുയോജ്യം.")</f>
        <v>അണക്കെട്ടിനാൽ രൂപപ്പെട്ട ജലസംഭരണിക്ക് മുകളിലുള്ള ഒരു വ്യൂപോയിന്റ്. സംഭരിച്ചിരിക്കുന്ന വെള്ളത്തിന്റെയും സമീപ വനപ്രദേശത്തിന്റെയും ശാന്തമായ കാഴ്ച ഇത് നൽകുന്നു. ചെറിയ ഇടവേളകൾക്ക് അനുയോജ്യം.</v>
      </c>
    </row>
    <row r="115">
      <c r="A115" s="6">
        <f t="shared" si="1"/>
        <v>114</v>
      </c>
      <c r="B115" s="6" t="s">
        <v>120</v>
      </c>
      <c r="C115" s="6">
        <v>16.0803183</v>
      </c>
      <c r="D115" s="6">
        <v>78.8815862</v>
      </c>
      <c r="E115" s="5" t="s">
        <v>424</v>
      </c>
      <c r="F115" s="11" t="str">
        <f>IFERROR(__xludf.DUMMYFUNCTION("GOOGLETRANSLATE(B115,""en"",""te"")"),"పాతాలగంగ, శ్రీశైలం")</f>
        <v>పాతాలగంగ, శ్రీశైలం</v>
      </c>
      <c r="G115" s="10" t="str">
        <f>IFERROR(__xludf.DUMMYFUNCTION("GOOGLETRANSLATE(B115,""en"",""hi"")"),"पथलगंगा, श्रीशैलम")</f>
        <v>पथलगंगा, श्रीशैलम</v>
      </c>
      <c r="H115" s="10" t="str">
        <f>IFERROR(__xludf.DUMMYFUNCTION("GOOGLETRANSLATE(B115,""en"",""ta"")"),"பாதாளகங்கா, ஸ்ரீசைலம்")</f>
        <v>பாதாளகங்கா, ஸ்ரீசைலம்</v>
      </c>
      <c r="I115" s="10" t="str">
        <f>IFERROR(__xludf.DUMMYFUNCTION("GOOGLETRANSLATE(B115,""en"",""kn"")"),"ಪಾತಾಳಗಂಗಾ, ಶ್ರೀಶೈಲಂ")</f>
        <v>ಪಾತಾಳಗಂಗಾ, ಶ್ರೀಶೈಲಂ</v>
      </c>
      <c r="J115" s="10" t="str">
        <f>IFERROR(__xludf.DUMMYFUNCTION("GOOGLETRANSLATE(B115,""en"",""ml"")"),"പാതലഗംഗ, ശ്രീശൈലം")</f>
        <v>പാതലഗംഗ, ശ്രീശൈലം</v>
      </c>
      <c r="K115" s="12" t="s">
        <v>432</v>
      </c>
      <c r="L115" s="10" t="str">
        <f>IFERROR(__xludf.DUMMYFUNCTION("GOOGLETRANSLATE(K115,""en"",""te"")"),"కృష్ణా నది ఒడ్డున ఒక నది ప్రవేశ స్థానం. యాత్రికులు మరియు సందర్శకులు నది వీక్షణ మరియు ప్రాథమిక ఆచారాల కోసం ఇక్కడికి వస్తారు. మెట్లు నీటి మట్టానికి దారితీస్తాయి.")</f>
        <v>కృష్ణా నది ఒడ్డున ఒక నది ప్రవేశ స్థానం. యాత్రికులు మరియు సందర్శకులు నది వీక్షణ మరియు ప్రాథమిక ఆచారాల కోసం ఇక్కడికి వస్తారు. మెట్లు నీటి మట్టానికి దారితీస్తాయి.</v>
      </c>
      <c r="M115" s="10" t="str">
        <f>IFERROR(__xludf.DUMMYFUNCTION("GOOGLETRANSLATE(K115,""en"",""hi"")"),"कृष्णा नदी के किनारे स्थित एक नदी प्रवेश बिंदु। तीर्थयात्री और पर्यटक यहाँ नदी के दर्शन और बुनियादी अनुष्ठानों के लिए आते हैं। सीढ़ियाँ जलस्तर तक जाती हैं।")</f>
        <v>कृष्णा नदी के किनारे स्थित एक नदी प्रवेश बिंदु। तीर्थयात्री और पर्यटक यहाँ नदी के दर्शन और बुनियादी अनुष्ठानों के लिए आते हैं। सीढ़ियाँ जलस्तर तक जाती हैं।</v>
      </c>
      <c r="N115" s="10" t="str">
        <f>IFERROR(__xludf.DUMMYFUNCTION("GOOGLETRANSLATE(K115,""en"",""ta"")"),"கிருஷ்ணா நதிக்கரையில் ஒரு நதி அணுகல் புள்ளி. புனிதப் பயணிகளும் பார்வையாளர்களும் நதியைப் பார்ப்பதற்கும் அடிப்படை சடங்குகளுக்கும் இங்கு வருகிறார்கள். படிகள் நீர் மட்டத்திற்கு கீழே செல்கின்றன.")</f>
        <v>கிருஷ்ணா நதிக்கரையில் ஒரு நதி அணுகல் புள்ளி. புனிதப் பயணிகளும் பார்வையாளர்களும் நதியைப் பார்ப்பதற்கும் அடிப்படை சடங்குகளுக்கும் இங்கு வருகிறார்கள். படிகள் நீர் மட்டத்திற்கு கீழே செல்கின்றன.</v>
      </c>
      <c r="O115" s="10" t="str">
        <f>IFERROR(__xludf.DUMMYFUNCTION("GOOGLETRANSLATE(K115,""en"",""kn"")"),"ಕೃಷ್ಣಾ ನದಿಯ ದಡದಲ್ಲಿರುವ ನದಿ ಪ್ರವೇಶ ಬಿಂದು. ನದಿ ವೀಕ್ಷಣೆ ಮತ್ತು ಮೂಲಭೂತ ಆಚರಣೆಗಳಿಗಾಗಿ ಯಾತ್ರಿಕರು ಮತ್ತು ಸಂದರ್ಶಕರು ಇಲ್ಲಿಗೆ ಬರುತ್ತಾರೆ. ಮೆಟ್ಟಿಲುಗಳು ನೀರಿನ ಮಟ್ಟಕ್ಕೆ ಇಳಿಯುತ್ತವೆ.")</f>
        <v>ಕೃಷ್ಣಾ ನದಿಯ ದಡದಲ್ಲಿರುವ ನದಿ ಪ್ರವೇಶ ಬಿಂದು. ನದಿ ವೀಕ್ಷಣೆ ಮತ್ತು ಮೂಲಭೂತ ಆಚರಣೆಗಳಿಗಾಗಿ ಯಾತ್ರಿಕರು ಮತ್ತು ಸಂದರ್ಶಕರು ಇಲ್ಲಿಗೆ ಬರುತ್ತಾರೆ. ಮೆಟ್ಟಿಲುಗಳು ನೀರಿನ ಮಟ್ಟಕ್ಕೆ ಇಳಿಯುತ್ತವೆ.</v>
      </c>
      <c r="P115" s="10" t="str">
        <f>IFERROR(__xludf.DUMMYFUNCTION("GOOGLETRANSLATE(K115,""en"",""ml"")"),"കൃഷ്ണ നദിയുടെ തീരത്തുള്ള ഒരു നദീ പ്രവേശന കേന്ദ്രം. തീർത്ഥാടകരും സന്ദർശകരും നദീ ദർശനത്തിനും അടിസ്ഥാന ആചാരങ്ങൾക്കുമായി ഇവിടെയെത്തുന്നു. പടികൾ ജലനിരപ്പിലേക്ക് താഴേക്ക് നയിക്കുന്നു.")</f>
        <v>കൃഷ്ണ നദിയുടെ തീരത്തുള്ള ഒരു നദീ പ്രവേശന കേന്ദ്രം. തീർത്ഥാടകരും സന്ദർശകരും നദീ ദർശനത്തിനും അടിസ്ഥാന ആചാരങ്ങൾക്കുമായി ഇവിടെയെത്തുന്നു. പടികൾ ജലനിരപ്പിലേക്ക് താഴേക്ക് നയിക്കുന്നു.</v>
      </c>
    </row>
    <row r="116">
      <c r="A116" s="6">
        <f t="shared" si="1"/>
        <v>115</v>
      </c>
      <c r="B116" s="6" t="s">
        <v>433</v>
      </c>
      <c r="C116" s="6">
        <v>16.0802859</v>
      </c>
      <c r="D116" s="6">
        <v>78.881227</v>
      </c>
      <c r="E116" s="5" t="s">
        <v>424</v>
      </c>
      <c r="F116" s="11" t="str">
        <f>IFERROR(__xludf.DUMMYFUNCTION("GOOGLETRANSLATE(B116,""en"",""te"")"),"పాతాల గంగా పితృ కార్యక్రమం")</f>
        <v>పాతాల గంగా పితృ కార్యక్రమం</v>
      </c>
      <c r="G116" s="10" t="str">
        <f>IFERROR(__xludf.DUMMYFUNCTION("GOOGLETRANSLATE(B116,""en"",""hi"")"),"पथाला गंगा पितृ कार्यक्रम")</f>
        <v>पथाला गंगा पितृ कार्यक्रम</v>
      </c>
      <c r="H116" s="10" t="str">
        <f>IFERROR(__xludf.DUMMYFUNCTION("GOOGLETRANSLATE(B116,""en"",""ta"")"),"பாதாள கங்கை பித்ரு திட்டம்")</f>
        <v>பாதாள கங்கை பித்ரு திட்டம்</v>
      </c>
      <c r="I116" s="10" t="str">
        <f>IFERROR(__xludf.DUMMYFUNCTION("GOOGLETRANSLATE(B116,""en"",""kn"")"),"ಪಾತಾಳ ಗಂಗಾ ಪಿತೃ ಕಾರ್ಯಕ್ರಮ")</f>
        <v>ಪಾತಾಳ ಗಂಗಾ ಪಿತೃ ಕಾರ್ಯಕ್ರಮ</v>
      </c>
      <c r="J116" s="10" t="str">
        <f>IFERROR(__xludf.DUMMYFUNCTION("GOOGLETRANSLATE(B116,""en"",""ml"")"),"പാതാള ഗംഗാ പിതൃ പരിപാടി")</f>
        <v>പാതാള ഗംഗാ പിതൃ പരിപാടി</v>
      </c>
      <c r="K116" s="12" t="s">
        <v>434</v>
      </c>
      <c r="L116" s="10" t="str">
        <f>IFERROR(__xludf.DUMMYFUNCTION("GOOGLETRANSLATE(K116,""en"",""te"")"),"పాతాలగంగ సమీపంలో పూర్వీకుల ఆచారాలు నిర్వహించడానికి నియమించబడిన ప్రాంతం. దీనిని ఆలయ అధికారులు నిర్వహిస్తారు. సౌకర్యాలు సరళమైనవి మరియు పూజారులచే మార్గనిర్దేశం చేయబడతాయి.")</f>
        <v>పాతాలగంగ సమీపంలో పూర్వీకుల ఆచారాలు నిర్వహించడానికి నియమించబడిన ప్రాంతం. దీనిని ఆలయ అధికారులు నిర్వహిస్తారు. సౌకర్యాలు సరళమైనవి మరియు పూజారులచే మార్గనిర్దేశం చేయబడతాయి.</v>
      </c>
      <c r="M116" s="10" t="str">
        <f>IFERROR(__xludf.DUMMYFUNCTION("GOOGLETRANSLATE(K116,""en"",""hi"")"),"पाथलागंगा के पास पूर्वजों की पूजा-अर्चना के लिए एक निर्धारित क्षेत्र है। इसका प्रबंधन मंदिर के अधिकारियों द्वारा किया जाता है। सुविधाएं सरल हैं और पुरोहितों द्वारा निर्देशित की जाती हैं।")</f>
        <v>पाथलागंगा के पास पूर्वजों की पूजा-अर्चना के लिए एक निर्धारित क्षेत्र है। इसका प्रबंधन मंदिर के अधिकारियों द्वारा किया जाता है। सुविधाएं सरल हैं और पुरोहितों द्वारा निर्देशित की जाती हैं।</v>
      </c>
      <c r="N116" s="10" t="str">
        <f>IFERROR(__xludf.DUMMYFUNCTION("GOOGLETRANSLATE(K116,""en"",""ta"")"),"பாதலகங்கா அருகே மூதாதையர் சடங்குகளைச் செய்வதற்காக நியமிக்கப்பட்ட பகுதி. இது கோயில் அதிகாரிகளால் நிர்வகிக்கப்படுகிறது. வசதிகள் எளிமையானவை மற்றும் பூசாரிகளால் வழிநடத்தப்படுகின்றன.")</f>
        <v>பாதலகங்கா அருகே மூதாதையர் சடங்குகளைச் செய்வதற்காக நியமிக்கப்பட்ட பகுதி. இது கோயில் அதிகாரிகளால் நிர்வகிக்கப்படுகிறது. வசதிகள் எளிமையானவை மற்றும் பூசாரிகளால் வழிநடத்தப்படுகின்றன.</v>
      </c>
      <c r="O116" s="10" t="str">
        <f>IFERROR(__xludf.DUMMYFUNCTION("GOOGLETRANSLATE(K116,""en"",""kn"")"),"ಪೂರ್ವಜರ ಆಚರಣೆಗಳನ್ನು ನಿರ್ವಹಿಸಲು ಪಾತಾಳಗಂಗಾ ಬಳಿ ಗೊತ್ತುಪಡಿಸಿದ ಪ್ರದೇಶ. ಇದನ್ನು ದೇವಾಲಯದ ಅಧಿಕಾರಿಗಳು ನಿರ್ವಹಿಸುತ್ತಾರೆ. ಸೌಲಭ್ಯಗಳು ಸರಳ ಮತ್ತು ಪುರೋಹಿತರಿಂದ ಮಾರ್ಗದರ್ಶಿಸಲ್ಪಡುತ್ತವೆ.")</f>
        <v>ಪೂರ್ವಜರ ಆಚರಣೆಗಳನ್ನು ನಿರ್ವಹಿಸಲು ಪಾತಾಳಗಂಗಾ ಬಳಿ ಗೊತ್ತುಪಡಿಸಿದ ಪ್ರದೇಶ. ಇದನ್ನು ದೇವಾಲಯದ ಅಧಿಕಾರಿಗಳು ನಿರ್ವಹಿಸುತ್ತಾರೆ. ಸೌಲಭ್ಯಗಳು ಸರಳ ಮತ್ತು ಪುರೋಹಿತರಿಂದ ಮಾರ್ಗದರ್ಶಿಸಲ್ಪಡುತ್ತವೆ.</v>
      </c>
      <c r="P116" s="10" t="str">
        <f>IFERROR(__xludf.DUMMYFUNCTION("GOOGLETRANSLATE(K116,""en"",""ml"")"),"പാതാളഗംഗയ്ക്ക് സമീപം പിതൃക ആചാരങ്ങൾ അനുഷ്ഠിക്കുന്നതിനായി ഒരു പ്രത്യേക സ്ഥലം. ക്ഷേത്ര അധികൃതരാണ് ഇത് കൈകാര്യം ചെയ്യുന്നത്. സൗകര്യങ്ങൾ ലളിതവും പുരോഹിതന്മാരാൽ നയിക്കപ്പെടുന്നതുമാണ്.")</f>
        <v>പാതാളഗംഗയ്ക്ക് സമീപം പിതൃക ആചാരങ്ങൾ അനുഷ്ഠിക്കുന്നതിനായി ഒരു പ്രത്യേക സ്ഥലം. ക്ഷേത്ര അധികൃതരാണ് ഇത് കൈകാര്യം ചെയ്യുന്നത്. സൗകര്യങ്ങൾ ലളിതവും പുരോഹിതന്മാരാൽ നയിക്കപ്പെടുന്നതുമാണ്.</v>
      </c>
    </row>
    <row r="117">
      <c r="A117" s="6">
        <f t="shared" si="1"/>
        <v>116</v>
      </c>
      <c r="B117" s="6" t="s">
        <v>435</v>
      </c>
      <c r="C117" s="6">
        <v>16.0799227</v>
      </c>
      <c r="D117" s="6">
        <v>78.8802444</v>
      </c>
      <c r="E117" s="5" t="s">
        <v>424</v>
      </c>
      <c r="F117" s="11" t="str">
        <f>IFERROR(__xludf.DUMMYFUNCTION("GOOGLETRANSLATE(B117,""en"",""te"")"),"శ్రీశైలం ప్రాజెక్ట్ వ్యూ పాయింట్ - పాతాళగంగ స్టెప్స్")</f>
        <v>శ్రీశైలం ప్రాజెక్ట్ వ్యూ పాయింట్ - పాతాళగంగ స్టెప్స్</v>
      </c>
      <c r="G117" s="10" t="str">
        <f>IFERROR(__xludf.DUMMYFUNCTION("GOOGLETRANSLATE(B117,""en"",""hi"")"),"श्रीशैलम परियोजना दृश्य बिंदु - पत्थलगंगा सीढ़ियाँ")</f>
        <v>श्रीशैलम परियोजना दृश्य बिंदु - पत्थलगंगा सीढ़ियाँ</v>
      </c>
      <c r="H117" s="10" t="str">
        <f>IFERROR(__xludf.DUMMYFUNCTION("GOOGLETRANSLATE(B117,""en"",""ta"")"),"ஸ்ரீசைலம் திட்டக் காட்சிப் புள்ளி - பாதலகங்கா படிகள்")</f>
        <v>ஸ்ரீசைலம் திட்டக் காட்சிப் புள்ளி - பாதலகங்கா படிகள்</v>
      </c>
      <c r="I117" s="10" t="str">
        <f>IFERROR(__xludf.DUMMYFUNCTION("GOOGLETRANSLATE(B117,""en"",""kn"")"),"ಶ್ರೀಶೈಲಂ ಪ್ರಾಜೆಕ್ಟ್ ವ್ಯೂ ಪಾಯಿಂಟ್ - ಪಾತಾಳಗಂಗಾ ಹಂತಗಳು")</f>
        <v>ಶ್ರೀಶೈಲಂ ಪ್ರಾಜೆಕ್ಟ್ ವ್ಯೂ ಪಾಯಿಂಟ್ - ಪಾತಾಳಗಂಗಾ ಹಂತಗಳು</v>
      </c>
      <c r="J117" s="10" t="str">
        <f>IFERROR(__xludf.DUMMYFUNCTION("GOOGLETRANSLATE(B117,""en"",""ml"")"),"ശ്രീശൈലം പ്രോജക്ട് വ്യൂ പോയിൻ്റ് - പാതാളഗംഗ പടികൾ")</f>
        <v>ശ്രീശൈലം പ്രോജക്ട് വ്യൂ പോയിൻ്റ് - പാതാളഗംഗ പടികൾ</v>
      </c>
      <c r="K117" s="12" t="s">
        <v>436</v>
      </c>
      <c r="L117" s="10" t="str">
        <f>IFERROR(__xludf.DUMMYFUNCTION("GOOGLETRANSLATE(K117,""en"",""te"")"),"పాతాలగంగకు దారితీసే మెట్ల వెంట ఉన్న వీక్షణ కేంద్రం. ఇది నది మరియు ప్రాజెక్టు ప్రాంతం యొక్క మిశ్రమ వీక్షణను అందిస్తుంది. ప్రధానంగా విశ్రాంతి మరియు వీక్షణ ప్రదేశంగా ఉపయోగించబడుతుంది.")</f>
        <v>పాతాలగంగకు దారితీసే మెట్ల వెంట ఉన్న వీక్షణ కేంద్రం. ఇది నది మరియు ప్రాజెక్టు ప్రాంతం యొక్క మిశ్రమ వీక్షణను అందిస్తుంది. ప్రధానంగా విశ్రాంతి మరియు వీక్షణ ప్రదేశంగా ఉపయోగించబడుతుంది.</v>
      </c>
      <c r="M117" s="10" t="str">
        <f>IFERROR(__xludf.DUMMYFUNCTION("GOOGLETRANSLATE(K117,""en"",""hi"")"),"पाथलागंगा की ओर जाने वाली सीढ़ियों पर स्थित एक दर्शनीय स्थल। यहाँ से नदी और परियोजना क्षेत्र दोनों का एक साथ दृश्य दिखाई देता है। इसका उपयोग मुख्य रूप से विश्राम और दर्शनीय स्थल के रूप में किया जाता है।")</f>
        <v>पाथलागंगा की ओर जाने वाली सीढ़ियों पर स्थित एक दर्शनीय स्थल। यहाँ से नदी और परियोजना क्षेत्र दोनों का एक साथ दृश्य दिखाई देता है। इसका उपयोग मुख्य रूप से विश्राम और दर्शनीय स्थल के रूप में किया जाता है।</v>
      </c>
      <c r="N117" s="10" t="str">
        <f>IFERROR(__xludf.DUMMYFUNCTION("GOOGLETRANSLATE(K117,""en"",""ta"")"),"பாதலகங்காவிற்கு செல்லும் படிகளில் அமைந்துள்ள ஒரு பார்வைப் புள்ளி. இது ஆறு மற்றும் திட்டப் பகுதியின் ஒருங்கிணைந்த காட்சியை வழங்குகிறது. முக்கியமாக ஓய்வு மற்றும் பார்வை இடமாகப் பயன்படுத்தப்படுகிறது.")</f>
        <v>பாதலகங்காவிற்கு செல்லும் படிகளில் அமைந்துள்ள ஒரு பார்வைப் புள்ளி. இது ஆறு மற்றும் திட்டப் பகுதியின் ஒருங்கிணைந்த காட்சியை வழங்குகிறது. முக்கியமாக ஓய்வு மற்றும் பார்வை இடமாகப் பயன்படுத்தப்படுகிறது.</v>
      </c>
      <c r="O117" s="10" t="str">
        <f>IFERROR(__xludf.DUMMYFUNCTION("GOOGLETRANSLATE(K117,""en"",""kn"")"),"ಪಾತಾಳಗಂಗೆಗೆ ಹೋಗುವ ಮೆಟ್ಟಿಲುಗಳ ಉದ್ದಕ್ಕೂ ಇರುವ ವೀಕ್ಷಣಾ ಸ್ಥಳ. ಇದು ನದಿ ಮತ್ತು ಯೋಜನಾ ಪ್ರದೇಶದ ಸಂಯೋಜಿತ ನೋಟವನ್ನು ನೀಡುತ್ತದೆ. ಮುಖ್ಯವಾಗಿ ವಿಶ್ರಾಂತಿ ಮತ್ತು ವೀಕ್ಷಣಾ ಸ್ಥಳವಾಗಿ ಬಳಸಲಾಗುತ್ತದೆ.")</f>
        <v>ಪಾತಾಳಗಂಗೆಗೆ ಹೋಗುವ ಮೆಟ್ಟಿಲುಗಳ ಉದ್ದಕ್ಕೂ ಇರುವ ವೀಕ್ಷಣಾ ಸ್ಥಳ. ಇದು ನದಿ ಮತ್ತು ಯೋಜನಾ ಪ್ರದೇಶದ ಸಂಯೋಜಿತ ನೋಟವನ್ನು ನೀಡುತ್ತದೆ. ಮುಖ್ಯವಾಗಿ ವಿಶ್ರಾಂತಿ ಮತ್ತು ವೀಕ್ಷಣಾ ಸ್ಥಳವಾಗಿ ಬಳಸಲಾಗುತ್ತದೆ.</v>
      </c>
      <c r="P117" s="10" t="str">
        <f>IFERROR(__xludf.DUMMYFUNCTION("GOOGLETRANSLATE(K117,""en"",""ml"")"),"പാതലഗംഗയിലേക്കുള്ള പടികൾക്കരികിൽ സ്ഥിതി ചെയ്യുന്ന ഒരു വ്യൂവിംഗ് പോയിന്റ്. നദിയുടെയും പദ്ധതി പ്രദേശത്തിന്റെയും സംയോജിത കാഴ്ച ഇത് പ്രദാനം ചെയ്യുന്നു. പ്രധാനമായും വിശ്രമത്തിനും കാഴ്ചയ്ക്കുമുള്ള സ്ഥലമായിട്ടാണ് ഇത് ഉപയോഗിക്കുന്നത്.")</f>
        <v>പാതലഗംഗയിലേക്കുള്ള പടികൾക്കരികിൽ സ്ഥിതി ചെയ്യുന്ന ഒരു വ്യൂവിംഗ് പോയിന്റ്. നദിയുടെയും പദ്ധതി പ്രദേശത്തിന്റെയും സംയോജിത കാഴ്ച ഇത് പ്രദാനം ചെയ്യുന്നു. പ്രധാനമായും വിശ്രമത്തിനും കാഴ്ചയ്ക്കുമുള്ള സ്ഥലമായിട്ടാണ് ഇത് ഉപയോഗിക്കുന്നത്.</v>
      </c>
    </row>
    <row r="118">
      <c r="A118" s="6">
        <f t="shared" si="1"/>
        <v>117</v>
      </c>
      <c r="B118" s="6" t="s">
        <v>437</v>
      </c>
      <c r="C118" s="6">
        <v>16.0808009</v>
      </c>
      <c r="D118" s="6">
        <v>78.8810906</v>
      </c>
      <c r="E118" s="5" t="s">
        <v>424</v>
      </c>
      <c r="F118" s="11" t="str">
        <f>IFERROR(__xludf.DUMMYFUNCTION("GOOGLETRANSLATE(B118,""en"",""te"")"),"కృష్ణా నది ఎదురుగా")</f>
        <v>కృష్ణా నది ఎదురుగా</v>
      </c>
      <c r="G118" s="10" t="str">
        <f>IFERROR(__xludf.DUMMYFUNCTION("GOOGLETRANSLATE(B118,""en"",""hi"")"),"कृष्णा नदी तट")</f>
        <v>कृष्णा नदी तट</v>
      </c>
      <c r="H118" s="10" t="str">
        <f>IFERROR(__xludf.DUMMYFUNCTION("GOOGLETRANSLATE(B118,""en"",""ta"")"),"கிருஷ்ணா நதிக்கரை")</f>
        <v>கிருஷ்ணா நதிக்கரை</v>
      </c>
      <c r="I118" s="10" t="str">
        <f>IFERROR(__xludf.DUMMYFUNCTION("GOOGLETRANSLATE(B118,""en"",""kn"")"),"ಕೃಷ್ಣಾ ನದಿ ದಂಡೆ")</f>
        <v>ಕೃಷ್ಣಾ ನದಿ ದಂಡೆ</v>
      </c>
      <c r="J118" s="10" t="str">
        <f>IFERROR(__xludf.DUMMYFUNCTION("GOOGLETRANSLATE(B118,""en"",""ml"")"),"കൃഷ്ണ നദിക്കര")</f>
        <v>കൃഷ്ണ നദിക്കര</v>
      </c>
      <c r="K118" s="12" t="s">
        <v>438</v>
      </c>
      <c r="L118" s="10" t="str">
        <f>IFERROR(__xludf.DUMMYFUNCTION("GOOGLETRANSLATE(K118,""en"",""te"")"),"శ్రీశైలం వద్ద కృష్ణ నది వెంబడి ఉన్న నదీ తీర ప్రాంతం. ఇది నడవడానికి, నది ప్రవాహాన్ని వీక్షించడానికి మరియు బోటింగ్ యాక్సెస్ కోసం ఉపయోగించబడుతుంది. ఈ ప్రాంతం ప్రజల కదలిక కోసం నిర్వహించబడుతుంది.")</f>
        <v>శ్రీశైలం వద్ద కృష్ణ నది వెంబడి ఉన్న నదీ తీర ప్రాంతం. ఇది నడవడానికి, నది ప్రవాహాన్ని వీక్షించడానికి మరియు బోటింగ్ యాక్సెస్ కోసం ఉపయోగించబడుతుంది. ఈ ప్రాంతం ప్రజల కదలిక కోసం నిర్వహించబడుతుంది.</v>
      </c>
      <c r="M118" s="10" t="str">
        <f>IFERROR(__xludf.DUMMYFUNCTION("GOOGLETRANSLATE(K118,""en"",""hi"")"),"श्रीशैलम में कृष्णा नदी के किनारे का क्षेत्र। इसका उपयोग पैदल चलने, नदी के प्रवाह को देखने और नौका विहार के लिए किया जाता है। यह क्षेत्र सार्वजनिक आवागमन के लिए सुगम बनाया गया है।")</f>
        <v>श्रीशैलम में कृष्णा नदी के किनारे का क्षेत्र। इसका उपयोग पैदल चलने, नदी के प्रवाह को देखने और नौका विहार के लिए किया जाता है। यह क्षेत्र सार्वजनिक आवागमन के लिए सुगम बनाया गया है।</v>
      </c>
      <c r="N118" s="10" t="str">
        <f>IFERROR(__xludf.DUMMYFUNCTION("GOOGLETRANSLATE(K118,""en"",""ta"")"),"ஸ்ரீசைலத்தில் கிருஷ்ணா நதிக்கரையோரப் பகுதி. இது நடைபயிற்சி, நதி ஓட்டத்தைப் பார்ப்பது மற்றும் படகு சவாரி செய்வதற்குப் பயன்படுகிறது. இந்தப் பகுதி பொதுமக்கள் நடமாட்டத்திற்காகப் பராமரிக்கப்படுகிறது.")</f>
        <v>ஸ்ரீசைலத்தில் கிருஷ்ணா நதிக்கரையோரப் பகுதி. இது நடைபயிற்சி, நதி ஓட்டத்தைப் பார்ப்பது மற்றும் படகு சவாரி செய்வதற்குப் பயன்படுகிறது. இந்தப் பகுதி பொதுமக்கள் நடமாட்டத்திற்காகப் பராமரிக்கப்படுகிறது.</v>
      </c>
      <c r="O118" s="10" t="str">
        <f>IFERROR(__xludf.DUMMYFUNCTION("GOOGLETRANSLATE(K118,""en"",""kn"")"),"ಶ್ರೀಶೈಲಂನಲ್ಲಿರುವ ಕೃಷ್ಣಾ ನದಿಯ ದಂಡೆಯ ಪ್ರದೇಶ. ಇದನ್ನು ನಡೆಯಲು, ನದಿಯ ಹರಿವನ್ನು ವೀಕ್ಷಿಸಲು ಮತ್ತು ದೋಣಿ ವಿಹಾರಕ್ಕೆ ಬಳಸಲಾಗುತ್ತದೆ. ಈ ಪ್ರದೇಶವನ್ನು ಸಾರ್ವಜನಿಕ ಸಂಚಾರಕ್ಕಾಗಿ ನಿರ್ವಹಿಸಲಾಗುತ್ತದೆ.")</f>
        <v>ಶ್ರೀಶೈಲಂನಲ್ಲಿರುವ ಕೃಷ್ಣಾ ನದಿಯ ದಂಡೆಯ ಪ್ರದೇಶ. ಇದನ್ನು ನಡೆಯಲು, ನದಿಯ ಹರಿವನ್ನು ವೀಕ್ಷಿಸಲು ಮತ್ತು ದೋಣಿ ವಿಹಾರಕ್ಕೆ ಬಳಸಲಾಗುತ್ತದೆ. ಈ ಪ್ರದೇಶವನ್ನು ಸಾರ್ವಜನಿಕ ಸಂಚಾರಕ್ಕಾಗಿ ನಿರ್ವಹಿಸಲಾಗುತ್ತದೆ.</v>
      </c>
      <c r="P118" s="10" t="str">
        <f>IFERROR(__xludf.DUMMYFUNCTION("GOOGLETRANSLATE(K118,""en"",""ml"")"),"ശ്രീശൈലത്ത് കൃഷ്ണ നദിക്കരയിലുള്ള നദീതീര പ്രദേശം. നടക്കാനും, നദിയുടെ ഒഴുക്ക് കാണാനും, ബോട്ടിംഗ് പ്രവേശനത്തിനും ഇത് ഉപയോഗിക്കുന്നു. പൊതുജനങ്ങൾക്ക് സഞ്ചരിക്കാൻ കഴിയുന്ന തരത്തിലാണ് ഈ പ്രദേശം പരിപാലിക്കുന്നത്.")</f>
        <v>ശ്രീശൈലത്ത് കൃഷ്ണ നദിക്കരയിലുള്ള നദീതീര പ്രദേശം. നടക്കാനും, നദിയുടെ ഒഴുക്ക് കാണാനും, ബോട്ടിംഗ് പ്രവേശനത്തിനും ഇത് ഉപയോഗിക്കുന്നു. പൊതുജനങ്ങൾക്ക് സഞ്ചരിക്കാൻ കഴിയുന്ന തരത്തിലാണ് ഈ പ്രദേശം പരിപാലിക്കുന്നത്.</v>
      </c>
    </row>
    <row r="119">
      <c r="A119" s="6">
        <f t="shared" si="1"/>
        <v>118</v>
      </c>
      <c r="B119" s="6" t="s">
        <v>439</v>
      </c>
      <c r="C119" s="6">
        <v>16.0804166</v>
      </c>
      <c r="D119" s="6">
        <v>78.8814899</v>
      </c>
      <c r="E119" s="5" t="s">
        <v>424</v>
      </c>
      <c r="F119" s="11" t="str">
        <f>IFERROR(__xludf.DUMMYFUNCTION("GOOGLETRANSLATE(B119,""en"",""te"")"),"కృష్ణా నది బోట్ పాయింట్")</f>
        <v>కృష్ణా నది బోట్ పాయింట్</v>
      </c>
      <c r="G119" s="8" t="s">
        <v>440</v>
      </c>
      <c r="H119" s="10" t="str">
        <f>IFERROR(__xludf.DUMMYFUNCTION("GOOGLETRANSLATE(B119,""en"",""ta"")"),"கிருஷ்ணா நதி படகு முனை")</f>
        <v>கிருஷ்ணா நதி படகு முனை</v>
      </c>
      <c r="I119" s="10" t="str">
        <f>IFERROR(__xludf.DUMMYFUNCTION("GOOGLETRANSLATE(B119,""en"",""kn"")"),"ಕೃಷ್ಣಾ ನದಿ ದೋಣಿ ವಿಹಾರ ತಾಣ")</f>
        <v>ಕೃಷ್ಣಾ ನದಿ ದೋಣಿ ವಿಹಾರ ತಾಣ</v>
      </c>
      <c r="J119" s="10" t="str">
        <f>IFERROR(__xludf.DUMMYFUNCTION("GOOGLETRANSLATE(B119,""en"",""ml"")"),"കൃഷ്ണ നദി ബോട്ട് പോയിന്റ്")</f>
        <v>കൃഷ്ണ നദി ബോട്ട് പോയിന്റ്</v>
      </c>
      <c r="K119" s="12" t="s">
        <v>441</v>
      </c>
      <c r="L119" s="10" t="str">
        <f>IFERROR(__xludf.DUMMYFUNCTION("GOOGLETRANSLATE(K119,""en"",""te"")"),"కృష్ణా నదిలో పడవలు నడిచే నిర్ణీత ప్రదేశం. ఎక్కే ముందు టిక్కెట్లు తీసుకోవాలి. పడవ ప్రయాణాలు నీటి మట్టాలు మరియు వాతావరణ పరిస్థితులపై ఆధారపడి ఉంటాయి.")</f>
        <v>కృష్ణా నదిలో పడవలు నడిచే నిర్ణీత ప్రదేశం. ఎక్కే ముందు టిక్కెట్లు తీసుకోవాలి. పడవ ప్రయాణాలు నీటి మట్టాలు మరియు వాతావరణ పరిస్థితులపై ఆధారపడి ఉంటాయి.</v>
      </c>
      <c r="M119" s="10" t="str">
        <f>IFERROR(__xludf.DUMMYFUNCTION("GOOGLETRANSLATE(K119,""en"",""hi"")"),"कृष्णा नदी पर नौका विहार के लिए निर्धारित स्थान। नौका विहार से पहले टिकट लेना आवश्यक है। नौका विहार जलस्तर और मौसम की स्थिति पर निर्भर करता है।")</f>
        <v>कृष्णा नदी पर नौका विहार के लिए निर्धारित स्थान। नौका विहार से पहले टिकट लेना आवश्यक है। नौका विहार जलस्तर और मौसम की स्थिति पर निर्भर करता है।</v>
      </c>
      <c r="N119" s="10" t="str">
        <f>IFERROR(__xludf.DUMMYFUNCTION("GOOGLETRANSLATE(K119,""en"",""ta"")"),"கிருஷ்ணா நதியில் படகுகள் இயக்கப்படும் ஒரு நியமிக்கப்பட்ட இடம். ஏறுவதற்கு முன் டிக்கெட்டுகள் அவசியம். படகு சவாரிகள் நீர் நிலைகள் மற்றும் வானிலை நிலையைப் பொறுத்தது.")</f>
        <v>கிருஷ்ணா நதியில் படகுகள் இயக்கப்படும் ஒரு நியமிக்கப்பட்ட இடம். ஏறுவதற்கு முன் டிக்கெட்டுகள் அவசியம். படகு சவாரிகள் நீர் நிலைகள் மற்றும் வானிலை நிலையைப் பொறுத்தது.</v>
      </c>
      <c r="O119" s="10" t="str">
        <f>IFERROR(__xludf.DUMMYFUNCTION("GOOGLETRANSLATE(K119,""en"",""kn"")"),"ಕೃಷ್ಣಾ ನದಿಯಲ್ಲಿ ದೋಣಿಗಳು ಕಾರ್ಯನಿರ್ವಹಿಸುವ ಗೊತ್ತುಪಡಿಸಿದ ಸ್ಥಳ. ಹತ್ತುವ ಮೊದಲು ಟಿಕೆಟ್‌ಗಳು ಅಗತ್ಯವಿದೆ. ದೋಣಿ ಸವಾರಿಗಳು ನೀರಿನ ಮಟ್ಟ ಮತ್ತು ಹವಾಮಾನ ಪರಿಸ್ಥಿತಿಗಳನ್ನು ಅವಲಂಬಿಸಿರುತ್ತದೆ.")</f>
        <v>ಕೃಷ್ಣಾ ನದಿಯಲ್ಲಿ ದೋಣಿಗಳು ಕಾರ್ಯನಿರ್ವಹಿಸುವ ಗೊತ್ತುಪಡಿಸಿದ ಸ್ಥಳ. ಹತ್ತುವ ಮೊದಲು ಟಿಕೆಟ್‌ಗಳು ಅಗತ್ಯವಿದೆ. ದೋಣಿ ಸವಾರಿಗಳು ನೀರಿನ ಮಟ್ಟ ಮತ್ತು ಹವಾಮಾನ ಪರಿಸ್ಥಿತಿಗಳನ್ನು ಅವಲಂಬಿಸಿರುತ್ತದೆ.</v>
      </c>
      <c r="P119" s="10" t="str">
        <f>IFERROR(__xludf.DUMMYFUNCTION("GOOGLETRANSLATE(K119,""en"",""ml"")"),"കൃഷ്ണ നദിയിൽ ബോട്ടുകൾ സർവീസ് നടത്തുന്ന ഒരു നിയുക്ത സ്ഥലം. കയറുന്നതിന് മുമ്പ് ടിക്കറ്റുകൾ ആവശ്യമാണ്. ബോട്ട് യാത്രകൾ ജലനിരപ്പിനെയും കാലാവസ്ഥയെയും ആശ്രയിച്ചിരിക്കുന്നു.")</f>
        <v>കൃഷ്ണ നദിയിൽ ബോട്ടുകൾ സർവീസ് നടത്തുന്ന ഒരു നിയുക്ത സ്ഥലം. കയറുന്നതിന് മുമ്പ് ടിക്കറ്റുകൾ ആവശ്യമാണ്. ബോട്ട് യാത്രകൾ ജലനിരപ്പിനെയും കാലാവസ്ഥയെയും ആശ്രയിച്ചിരിക്കുന്നു.</v>
      </c>
    </row>
    <row r="120">
      <c r="A120" s="6">
        <f t="shared" si="1"/>
        <v>119</v>
      </c>
      <c r="B120" s="6" t="s">
        <v>442</v>
      </c>
      <c r="C120" s="6">
        <v>16.0779239</v>
      </c>
      <c r="D120" s="6">
        <v>78.8783045</v>
      </c>
      <c r="E120" s="5" t="s">
        <v>424</v>
      </c>
      <c r="F120" s="11" t="str">
        <f>IFERROR(__xludf.DUMMYFUNCTION("GOOGLETRANSLATE(B120,""en"",""te"")"),"వ్యూ పాయింట్, కృష్ణా నది")</f>
        <v>వ్యూ పాయింట్, కృష్ణా నది</v>
      </c>
      <c r="G120" s="10" t="str">
        <f>IFERROR(__xludf.DUMMYFUNCTION("GOOGLETRANSLATE(B120,""en"",""hi"")"),"दृश्य बिंदु, कृष्णा नदी")</f>
        <v>दृश्य बिंदु, कृष्णा नदी</v>
      </c>
      <c r="H120" s="8" t="s">
        <v>443</v>
      </c>
      <c r="I120" s="8" t="s">
        <v>444</v>
      </c>
      <c r="J120" s="8" t="s">
        <v>445</v>
      </c>
      <c r="K120" s="12" t="s">
        <v>446</v>
      </c>
      <c r="L120" s="10" t="str">
        <f>IFERROR(__xludf.DUMMYFUNCTION("GOOGLETRANSLATE(K120,""en"",""te"")"),"కృష్ణా నదికి ఎదురుగా ఉన్న సాధారణ వీక్షణ ప్రాంతం. ఇది సందర్శకులను నది ప్రవాహాన్ని మరియు చుట్టుపక్కల ప్రకృతి దృశ్యాన్ని గమనించడానికి అనుమతిస్తుంది. సీటింగ్ పరిమితం కావచ్చు.")</f>
        <v>కృష్ణా నదికి ఎదురుగా ఉన్న సాధారణ వీక్షణ ప్రాంతం. ఇది సందర్శకులను నది ప్రవాహాన్ని మరియు చుట్టుపక్కల ప్రకృతి దృశ్యాన్ని గమనించడానికి అనుమతిస్తుంది. సీటింగ్ పరిమితం కావచ్చు.</v>
      </c>
      <c r="M120" s="10" t="str">
        <f>IFERROR(__xludf.DUMMYFUNCTION("GOOGLETRANSLATE(K120,""en"",""hi"")"),"कृष्णा नदी के सामने स्थित एक सामान्य अवलोकन स्थल। यहाँ से आगंतुक नदी के प्रवाह और आसपास के परिदृश्य का अवलोकन कर सकते हैं। बैठने की व्यवस्था सीमित हो सकती है।")</f>
        <v>कृष्णा नदी के सामने स्थित एक सामान्य अवलोकन स्थल। यहाँ से आगंतुक नदी के प्रवाह और आसपास के परिदृश्य का अवलोकन कर सकते हैं। बैठने की व्यवस्था सीमित हो सकती है।</v>
      </c>
      <c r="N120" s="10" t="str">
        <f>IFERROR(__xludf.DUMMYFUNCTION("GOOGLETRANSLATE(K120,""en"",""ta"")"),"கிருஷ்ணா நதியை எதிர்கொள்ளும் ஒரு பொதுவான பார்வைப் பகுதி. இது பார்வையாளர்கள் நதி ஓட்டத்தையும் சுற்றியுள்ள நிலப்பரப்பையும் பார்வையிட அனுமதிக்கிறது. இருக்கைகள் குறைவாக இருக்கலாம்.")</f>
        <v>கிருஷ்ணா நதியை எதிர்கொள்ளும் ஒரு பொதுவான பார்வைப் பகுதி. இது பார்வையாளர்கள் நதி ஓட்டத்தையும் சுற்றியுள்ள நிலப்பரப்பையும் பார்வையிட அனுமதிக்கிறது. இருக்கைகள் குறைவாக இருக்கலாம்.</v>
      </c>
      <c r="O120" s="10" t="str">
        <f>IFERROR(__xludf.DUMMYFUNCTION("GOOGLETRANSLATE(K120,""en"",""kn"")"),"ಕೃಷ್ಣಾ ನದಿಗೆ ಎದುರಾಗಿರುವ ಸಾಮಾನ್ಯ ವೀಕ್ಷಣಾ ಪ್ರದೇಶ. ಇದು ಸಂದರ್ಶಕರಿಗೆ ನದಿಯ ಹರಿವು ಮತ್ತು ಸುತ್ತಮುತ್ತಲಿನ ಭೂದೃಶ್ಯವನ್ನು ವೀಕ್ಷಿಸಲು ಅನುವು ಮಾಡಿಕೊಡುತ್ತದೆ. ಆಸನಗಳು ಸೀಮಿತವಾಗಿರಬಹುದು.")</f>
        <v>ಕೃಷ್ಣಾ ನದಿಗೆ ಎದುರಾಗಿರುವ ಸಾಮಾನ್ಯ ವೀಕ್ಷಣಾ ಪ್ರದೇಶ. ಇದು ಸಂದರ್ಶಕರಿಗೆ ನದಿಯ ಹರಿವು ಮತ್ತು ಸುತ್ತಮುತ್ತಲಿನ ಭೂದೃಶ್ಯವನ್ನು ವೀಕ್ಷಿಸಲು ಅನುವು ಮಾಡಿಕೊಡುತ್ತದೆ. ಆಸನಗಳು ಸೀಮಿತವಾಗಿರಬಹುದು.</v>
      </c>
      <c r="P120" s="10" t="str">
        <f>IFERROR(__xludf.DUMMYFUNCTION("GOOGLETRANSLATE(K120,""en"",""ml"")"),"കൃഷ്ണ നദിക്ക് അഭിമുഖമായി ഒരു പൊതു കാഴ്ചാ മേഖല. സന്ദർശകർക്ക് നദിയുടെ ഒഴുക്കും ചുറ്റുമുള്ള ഭൂപ്രകൃതിയും നിരീക്ഷിക്കാൻ ഇത് അനുവദിക്കുന്നു. ഇരിപ്പിടങ്ങൾ പരിമിതമായിരിക്കാം.")</f>
        <v>കൃഷ്ണ നദിക്ക് അഭിമുഖമായി ഒരു പൊതു കാഴ്ചാ മേഖല. സന്ദർശകർക്ക് നദിയുടെ ഒഴുക്കും ചുറ്റുമുള്ള ഭൂപ്രകൃതിയും നിരീക്ഷിക്കാൻ ഇത് അനുവദിക്കുന്നു. ഇരിപ്പിടങ്ങൾ പരിമിതമായിരിക്കാം.</v>
      </c>
    </row>
    <row r="121">
      <c r="A121" s="6">
        <f t="shared" si="1"/>
        <v>120</v>
      </c>
      <c r="B121" s="6" t="s">
        <v>447</v>
      </c>
      <c r="C121" s="6">
        <v>16.079318</v>
      </c>
      <c r="D121" s="6">
        <v>78.877529</v>
      </c>
      <c r="E121" s="5" t="s">
        <v>424</v>
      </c>
      <c r="F121" s="11" t="str">
        <f>IFERROR(__xludf.DUMMYFUNCTION("GOOGLETRANSLATE(B121,""en"",""te"")"),"APTDC రోప్‌వే")</f>
        <v>APTDC రోప్‌వే</v>
      </c>
      <c r="G121" s="10" t="str">
        <f>IFERROR(__xludf.DUMMYFUNCTION("GOOGLETRANSLATE(B121,""en"",""hi"")"),"एपीटीडीसी रोपवे")</f>
        <v>एपीटीडीसी रोपवे</v>
      </c>
      <c r="H121" s="8" t="s">
        <v>448</v>
      </c>
      <c r="I121" s="8" t="s">
        <v>449</v>
      </c>
      <c r="J121" s="8" t="s">
        <v>450</v>
      </c>
      <c r="K121" s="12" t="s">
        <v>451</v>
      </c>
      <c r="L121" s="10" t="str">
        <f>IFERROR(__xludf.DUMMYFUNCTION("GOOGLETRANSLATE(K121,""en"",""te"")"),"ఆంధ్రప్రదేశ్ టూరిజం నిర్వహించే కేబుల్ రోప్‌వే. ఇది ఎగువ ప్రాంతాలను నది స్థాయికి కలుపుతుంది, సులభంగా చేరుకోవడానికి వీలుగా ఉంటుంది. నిర్వహణ నిర్వహణ మరియు వాతావరణంపై ఆధారపడి ఉంటుంది.")</f>
        <v>ఆంధ్రప్రదేశ్ టూరిజం నిర్వహించే కేబుల్ రోప్‌వే. ఇది ఎగువ ప్రాంతాలను నది స్థాయికి కలుపుతుంది, సులభంగా చేరుకోవడానికి వీలుగా ఉంటుంది. నిర్వహణ నిర్వహణ మరియు వాతావరణంపై ఆధారపడి ఉంటుంది.</v>
      </c>
      <c r="M121" s="10" t="str">
        <f>IFERROR(__xludf.DUMMYFUNCTION("GOOGLETRANSLATE(K121,""en"",""hi"")"),"आंध्र प्रदेश पर्यटन द्वारा संचालित एक केबल रोपवे। यह सुगम आवागमन के लिए ऊपरी क्षेत्रों को नदी तल से जोड़ता है। इसका संचालन रखरखाव और मौसम पर निर्भर करता है।")</f>
        <v>आंध्र प्रदेश पर्यटन द्वारा संचालित एक केबल रोपवे। यह सुगम आवागमन के लिए ऊपरी क्षेत्रों को नदी तल से जोड़ता है। इसका संचालन रखरखाव और मौसम पर निर्भर करता है।</v>
      </c>
      <c r="N121" s="10" t="str">
        <f>IFERROR(__xludf.DUMMYFUNCTION("GOOGLETRANSLATE(K121,""en"",""ta"")"),"ஆந்திரப் பிரதேச சுற்றுலாவால் இயக்கப்படும் ஒரு கேபிள் ரோப்வே. இது மேல் பகுதிகளை ஆற்றின் மட்டத்துடன் இணைக்கிறது, இதனால் எளிதாக அணுக முடியும். செயல்பாடு பராமரிப்பு மற்றும் வானிலையைப் பொறுத்தது.")</f>
        <v>ஆந்திரப் பிரதேச சுற்றுலாவால் இயக்கப்படும் ஒரு கேபிள் ரோப்வே. இது மேல் பகுதிகளை ஆற்றின் மட்டத்துடன் இணைக்கிறது, இதனால் எளிதாக அணுக முடியும். செயல்பாடு பராமரிப்பு மற்றும் வானிலையைப் பொறுத்தது.</v>
      </c>
      <c r="O121" s="10" t="str">
        <f>IFERROR(__xludf.DUMMYFUNCTION("GOOGLETRANSLATE(K121,""en"",""kn"")"),"ಆಂಧ್ರಪ್ರದೇಶ ಪ್ರವಾಸೋದ್ಯಮ ನಿರ್ವಹಿಸುವ ಕೇಬಲ್ ರೋಪ್‌ವೇ. ಇದು ಸುಲಭ ಪ್ರವೇಶಕ್ಕಾಗಿ ಮೇಲ್ಭಾಗದ ಪ್ರದೇಶಗಳನ್ನು ನದಿ ಮಟ್ಟಕ್ಕೆ ಸಂಪರ್ಕಿಸುತ್ತದೆ. ಕಾರ್ಯಾಚರಣೆಯು ನಿರ್ವಹಣೆ ಮತ್ತು ಹವಾಮಾನವನ್ನು ಅವಲಂಬಿಸಿರುತ್ತದೆ.")</f>
        <v>ಆಂಧ್ರಪ್ರದೇಶ ಪ್ರವಾಸೋದ್ಯಮ ನಿರ್ವಹಿಸುವ ಕೇಬಲ್ ರೋಪ್‌ವೇ. ಇದು ಸುಲಭ ಪ್ರವೇಶಕ್ಕಾಗಿ ಮೇಲ್ಭಾಗದ ಪ್ರದೇಶಗಳನ್ನು ನದಿ ಮಟ್ಟಕ್ಕೆ ಸಂಪರ್ಕಿಸುತ್ತದೆ. ಕಾರ್ಯಾಚರಣೆಯು ನಿರ್ವಹಣೆ ಮತ್ತು ಹವಾಮಾನವನ್ನು ಅವಲಂಬಿಸಿರುತ್ತದೆ.</v>
      </c>
      <c r="P121" s="10" t="str">
        <f>IFERROR(__xludf.DUMMYFUNCTION("GOOGLETRANSLATE(K121,""en"",""ml"")"),"ആന്ധ്രാപ്രദേശ് ടൂറിസം നടത്തുന്ന ഒരു കേബിൾ റോപ്പ്‌വേ. എളുപ്പത്തിൽ എത്തിച്ചേരുന്നതിനായി ഇത് മുകളിലെ പ്രദേശങ്ങളെ നദീതീരവുമായി ബന്ധിപ്പിക്കുന്നു. പ്രവർത്തനം അറ്റകുറ്റപ്പണികളെയും കാലാവസ്ഥയെയും ആശ്രയിച്ചിരിക്കുന്നു.")</f>
        <v>ആന്ധ്രാപ്രദേശ് ടൂറിസം നടത്തുന്ന ഒരു കേബിൾ റോപ്പ്‌വേ. എളുപ്പത്തിൽ എത്തിച്ചേരുന്നതിനായി ഇത് മുകളിലെ പ്രദേശങ്ങളെ നദീതീരവുമായി ബന്ധിപ്പിക്കുന്നു. പ്രവർത്തനം അറ്റകുറ്റപ്പണികളെയും കാലാവസ്ഥയെയും ആശ്രയിച്ചിരിക്കുന്നു.</v>
      </c>
    </row>
    <row r="122">
      <c r="A122" s="6">
        <f t="shared" si="1"/>
        <v>121</v>
      </c>
      <c r="B122" s="6" t="s">
        <v>452</v>
      </c>
      <c r="C122" s="6">
        <v>16.0808886</v>
      </c>
      <c r="D122" s="6">
        <v>78.8796303</v>
      </c>
      <c r="E122" s="5" t="s">
        <v>424</v>
      </c>
      <c r="F122" s="11" t="str">
        <f>IFERROR(__xludf.DUMMYFUNCTION("GOOGLETRANSLATE(B122,""en"",""te"")"),"APTDC కృష్ణ నది రోప్‌వే స్టేషన్")</f>
        <v>APTDC కృష్ణ నది రోప్‌వే స్టేషన్</v>
      </c>
      <c r="G122" s="10" t="str">
        <f>IFERROR(__xludf.DUMMYFUNCTION("GOOGLETRANSLATE(B122,""en"",""hi"")"),"एपीटीडीसी कृष्णा नदी रोपवे स्टेशन")</f>
        <v>एपीटीडीसी कृष्णा नदी रोपवे स्टेशन</v>
      </c>
      <c r="H122" s="10" t="str">
        <f>IFERROR(__xludf.DUMMYFUNCTION("GOOGLETRANSLATE(B122,""en"",""ta"")"),"APTDC கிருஷ்ணா நதி கேபிள் கார் நிலையம்")</f>
        <v>APTDC கிருஷ்ணா நதி கேபிள் கார் நிலையம்</v>
      </c>
      <c r="I122" s="10" t="str">
        <f>IFERROR(__xludf.DUMMYFUNCTION("GOOGLETRANSLATE(B122,""en"",""kn"")"),"APTDC ಕೃಷ್ಣಾ ನದಿ ರೋಪ್‌ವೇ ನಿಲ್ದಾಣ")</f>
        <v>APTDC ಕೃಷ್ಣಾ ನದಿ ರೋಪ್‌ವೇ ನಿಲ್ದಾಣ</v>
      </c>
      <c r="J122" s="10" t="str">
        <f>IFERROR(__xludf.DUMMYFUNCTION("GOOGLETRANSLATE(B122,""en"",""ml"")"),"എപിടിഡിസി കൃഷ്ണ നദി റോപ്‌വേ സ്റ്റേഷൻ")</f>
        <v>എപിടിഡിസി കൃഷ്ണ നദി റോപ്‌വേ സ്റ്റേഷൻ</v>
      </c>
      <c r="K122" s="12" t="s">
        <v>453</v>
      </c>
      <c r="L122" s="10" t="str">
        <f>IFERROR(__xludf.DUMMYFUNCTION("GOOGLETRANSLATE(K122,""en"",""te"")"),"నది దగ్గర APTDC రోప్‌వే కోసం బోర్డింగ్ మరియు నిష్క్రమణ స్టేషన్. టికెట్ ధృవీకరణ మరియు క్యూ నిర్వహణ ఇక్కడ జరుగుతుంది. ప్రాథమిక వేచి ఉండే సౌకర్యాలు అందుబాటులో ఉన్నాయి.")</f>
        <v>నది దగ్గర APTDC రోప్‌వే కోసం బోర్డింగ్ మరియు నిష్క్రమణ స్టేషన్. టికెట్ ధృవీకరణ మరియు క్యూ నిర్వహణ ఇక్కడ జరుగుతుంది. ప్రాథమిక వేచి ఉండే సౌకర్యాలు అందుబాటులో ఉన్నాయి.</v>
      </c>
      <c r="M122" s="10" t="str">
        <f>IFERROR(__xludf.DUMMYFUNCTION("GOOGLETRANSLATE(K122,""en"",""hi"")"),"नदी के पास स्थित एपीटीडीसी रोपवे का बोर्डिंग और एग्जिट स्टेशन। यहां टिकट सत्यापन और कतार प्रबंधन किया जाता है। प्रतीक्षा के लिए बुनियादी सुविधाएं उपलब्ध हैं।")</f>
        <v>नदी के पास स्थित एपीटीडीसी रोपवे का बोर्डिंग और एग्जिट स्टेशन। यहां टिकट सत्यापन और कतार प्रबंधन किया जाता है। प्रतीक्षा के लिए बुनियादी सुविधाएं उपलब्ध हैं।</v>
      </c>
      <c r="N122" s="10" t="str">
        <f>IFERROR(__xludf.DUMMYFUNCTION("GOOGLETRANSLATE(K122,""en"",""ta"")"),"ஆற்றின் அருகே APTDC ரோப்வேயில் ஏறும் மற்றும் வெளியேறும் நிலையம். டிக்கெட் சரிபார்ப்பு மற்றும் வரிசை மேலாண்மை இங்கே செய்யப்படுகிறது. அடிப்படை காத்திருப்பு வசதிகள் உள்ளன.")</f>
        <v>ஆற்றின் அருகே APTDC ரோப்வேயில் ஏறும் மற்றும் வெளியேறும் நிலையம். டிக்கெட் சரிபார்ப்பு மற்றும் வரிசை மேலாண்மை இங்கே செய்யப்படுகிறது. அடிப்படை காத்திருப்பு வசதிகள் உள்ளன.</v>
      </c>
      <c r="O122" s="10" t="str">
        <f>IFERROR(__xludf.DUMMYFUNCTION("GOOGLETRANSLATE(K122,""en"",""kn"")"),"ನದಿಯ ಬಳಿ APTDC ರೋಪ್‌ವೇಗೆ ಬೋರ್ಡಿಂಗ್ ಮತ್ತು ನಿರ್ಗಮನ ನಿಲ್ದಾಣ. ಟಿಕೆಟ್ ಪರಿಶೀಲನೆ ಮತ್ತು ಸರತಿ ಸಾಲು ನಿರ್ವಹಣೆಯನ್ನು ಇಲ್ಲಿ ಮಾಡಲಾಗುತ್ತದೆ. ಮೂಲಭೂತ ಕಾಯುವ ಸೌಲಭ್ಯಗಳು ಲಭ್ಯವಿದೆ.")</f>
        <v>ನದಿಯ ಬಳಿ APTDC ರೋಪ್‌ವೇಗೆ ಬೋರ್ಡಿಂಗ್ ಮತ್ತು ನಿರ್ಗಮನ ನಿಲ್ದಾಣ. ಟಿಕೆಟ್ ಪರಿಶೀಲನೆ ಮತ್ತು ಸರತಿ ಸಾಲು ನಿರ್ವಹಣೆಯನ್ನು ಇಲ್ಲಿ ಮಾಡಲಾಗುತ್ತದೆ. ಮೂಲಭೂತ ಕಾಯುವ ಸೌಲಭ್ಯಗಳು ಲಭ್ಯವಿದೆ.</v>
      </c>
      <c r="P122" s="10" t="str">
        <f>IFERROR(__xludf.DUMMYFUNCTION("GOOGLETRANSLATE(K122,""en"",""ml"")"),"നദിക്കടുത്തുള്ള APTDC റോപ്‌വേയുടെ ബോർഡിംഗ്, എക്സിറ്റ് സ്റ്റേഷൻ. ടിക്കറ്റ് പരിശോധനയും ക്യൂ മാനേജ്‌മെന്റും ഇവിടെയാണ് ചെയ്യുന്നത്. അടിസ്ഥാന കാത്തിരിപ്പ് സൗകര്യങ്ങൾ ലഭ്യമാണ്.")</f>
        <v>നദിക്കടുത്തുള്ള APTDC റോപ്‌വേയുടെ ബോർഡിംഗ്, എക്സിറ്റ് സ്റ്റേഷൻ. ടിക്കറ്റ് പരിശോധനയും ക്യൂ മാനേജ്‌മെന്റും ഇവിടെയാണ് ചെയ്യുന്നത്. അടിസ്ഥാന കാത്തിരിപ്പ് സൗകര്യങ്ങൾ ലഭ്യമാണ്.</v>
      </c>
    </row>
    <row r="123">
      <c r="A123" s="6">
        <f t="shared" si="1"/>
        <v>122</v>
      </c>
      <c r="B123" s="6" t="s">
        <v>454</v>
      </c>
      <c r="C123" s="6">
        <v>16.0792503</v>
      </c>
      <c r="D123" s="6">
        <v>78.8774197</v>
      </c>
      <c r="E123" s="5" t="s">
        <v>424</v>
      </c>
      <c r="F123" s="11" t="str">
        <f>IFERROR(__xludf.DUMMYFUNCTION("GOOGLETRANSLATE(B123,""en"",""te"")"),"APTDC రోప్‌వే &amp; బోటింగ్ టికెట్ కౌంటర్")</f>
        <v>APTDC రోప్‌వే &amp; బోటింగ్ టికెట్ కౌంటర్</v>
      </c>
      <c r="G123" s="10" t="str">
        <f>IFERROR(__xludf.DUMMYFUNCTION("GOOGLETRANSLATE(B123,""en"",""hi"")"),"APTDC रोपवे और नौका विहार टिकट काउंटर")</f>
        <v>APTDC रोपवे और नौका विहार टिकट काउंटर</v>
      </c>
      <c r="H123" s="10" t="str">
        <f>IFERROR(__xludf.DUMMYFUNCTION("GOOGLETRANSLATE(B123,""en"",""ta"")"),"APTDC கேபிள் கார் &amp; படகு டிக்கெட் கவுண்டர்")</f>
        <v>APTDC கேபிள் கார் &amp; படகு டிக்கெட் கவுண்டர்</v>
      </c>
      <c r="I123" s="8" t="s">
        <v>455</v>
      </c>
      <c r="J123" s="8" t="s">
        <v>456</v>
      </c>
      <c r="K123" s="12" t="s">
        <v>457</v>
      </c>
      <c r="L123" s="10" t="str">
        <f>IFERROR(__xludf.DUMMYFUNCTION("GOOGLETRANSLATE(K123,""en"",""te"")"),"రోప్‌వే మరియు బోటింగ్ సేవలకు ఒక సాధారణ టికెట్ కౌంటర్. సేవలను ఉపయోగించే ముందు సందర్శకులు ఇక్కడ టిక్కెట్లు కొనుగోలు చేయాలి. చెల్లింపు ఎంపికలు మారవచ్చు.")</f>
        <v>రోప్‌వే మరియు బోటింగ్ సేవలకు ఒక సాధారణ టికెట్ కౌంటర్. సేవలను ఉపయోగించే ముందు సందర్శకులు ఇక్కడ టిక్కెట్లు కొనుగోలు చేయాలి. చెల్లింపు ఎంపికలు మారవచ్చు.</v>
      </c>
      <c r="M123" s="10" t="str">
        <f>IFERROR(__xludf.DUMMYFUNCTION("GOOGLETRANSLATE(K123,""en"",""hi"")"),"रोपवे और नौका विहार सेवाओं के लिए एक सामान्य टिकट काउंटर। आगंतुकों को सेवाओं का उपयोग करने से पहले यहां से टिकट खरीदना होगा। भुगतान के विकल्प भिन्न हो सकते हैं।")</f>
        <v>रोपवे और नौका विहार सेवाओं के लिए एक सामान्य टिकट काउंटर। आगंतुकों को सेवाओं का उपयोग करने से पहले यहां से टिकट खरीदना होगा। भुगतान के विकल्प भिन्न हो सकते हैं।</v>
      </c>
      <c r="N123" s="10" t="str">
        <f>IFERROR(__xludf.DUMMYFUNCTION("GOOGLETRANSLATE(K123,""en"",""ta"")"),"ரோப்வே மற்றும் படகு சவாரி சேவைகளுக்கான பொதுவான டிக்கெட் கவுண்டர். சேவைகளைப் பயன்படுத்துவதற்கு முன்பு பார்வையாளர்கள் இங்கே டிக்கெட்டுகளை வாங்க வேண்டும். கட்டண விருப்பங்கள் மாறுபடலாம்.")</f>
        <v>ரோப்வே மற்றும் படகு சவாரி சேவைகளுக்கான பொதுவான டிக்கெட் கவுண்டர். சேவைகளைப் பயன்படுத்துவதற்கு முன்பு பார்வையாளர்கள் இங்கே டிக்கெட்டுகளை வாங்க வேண்டும். கட்டண விருப்பங்கள் மாறுபடலாம்.</v>
      </c>
      <c r="O123" s="10" t="str">
        <f>IFERROR(__xludf.DUMMYFUNCTION("GOOGLETRANSLATE(K123,""en"",""kn"")"),"ರೋಪ್‌ವೇ ಮತ್ತು ದೋಣಿ ವಿಹಾರ ಸೇವೆಗಳಿಗೆ ಸಾಮಾನ್ಯ ಟಿಕೆಟ್ ಕೌಂಟರ್. ಸೇವೆಗಳನ್ನು ಬಳಸುವ ಮೊದಲು ಸಂದರ್ಶಕರು ಇಲ್ಲಿ ಟಿಕೆಟ್‌ಗಳನ್ನು ಖರೀದಿಸಬೇಕು. ಪಾವತಿ ಆಯ್ಕೆಗಳು ಬದಲಾಗಬಹುದು.")</f>
        <v>ರೋಪ್‌ವೇ ಮತ್ತು ದೋಣಿ ವಿಹಾರ ಸೇವೆಗಳಿಗೆ ಸಾಮಾನ್ಯ ಟಿಕೆಟ್ ಕೌಂಟರ್. ಸೇವೆಗಳನ್ನು ಬಳಸುವ ಮೊದಲು ಸಂದರ್ಶಕರು ಇಲ್ಲಿ ಟಿಕೆಟ್‌ಗಳನ್ನು ಖರೀದಿಸಬೇಕು. ಪಾವತಿ ಆಯ್ಕೆಗಳು ಬದಲಾಗಬಹುದು.</v>
      </c>
      <c r="P123" s="10" t="str">
        <f>IFERROR(__xludf.DUMMYFUNCTION("GOOGLETRANSLATE(K123,""en"",""ml"")"),"റോപ്പ്‌വേ, ബോട്ടിംഗ് സേവനങ്ങൾക്കുള്ള ഒരു പൊതു ടിക്കറ്റ് കൗണ്ടർ. സേവനങ്ങൾ ഉപയോഗിക്കുന്നതിന് മുമ്പ് സന്ദർശകർ ഇവിടെ നിന്ന് ടിക്കറ്റുകൾ വാങ്ങണം. പേയ്‌മെന്റ് ഓപ്ഷനുകൾ വ്യത്യാസപ്പെടാം.")</f>
        <v>റോപ്പ്‌വേ, ബോട്ടിംഗ് സേവനങ്ങൾക്കുള്ള ഒരു പൊതു ടിക്കറ്റ് കൗണ്ടർ. സേവനങ്ങൾ ഉപയോഗിക്കുന്നതിന് മുമ്പ് സന്ദർശകർ ഇവിടെ നിന്ന് ടിക്കറ്റുകൾ വാങ്ങണം. പേയ്‌മെന്റ് ഓപ്ഷനുകൾ വ്യത്യാസപ്പെടാം.</v>
      </c>
    </row>
    <row r="124">
      <c r="A124" s="6">
        <f t="shared" si="1"/>
        <v>123</v>
      </c>
      <c r="B124" s="6" t="s">
        <v>458</v>
      </c>
      <c r="C124" s="6">
        <v>16.0811234</v>
      </c>
      <c r="D124" s="6">
        <v>78.8796888</v>
      </c>
      <c r="E124" s="5" t="s">
        <v>424</v>
      </c>
      <c r="F124" s="11" t="str">
        <f>IFERROR(__xludf.DUMMYFUNCTION("GOOGLETRANSLATE(B124,""en"",""te"")"),"AP టూరిజం బోటింగ్ పాయింట్")</f>
        <v>AP టూరిజం బోటింగ్ పాయింట్</v>
      </c>
      <c r="G124" s="10" t="str">
        <f>IFERROR(__xludf.DUMMYFUNCTION("GOOGLETRANSLATE(B124,""en"",""hi"")"),"एपी टूरिज्म बोटिंग पॉइंट")</f>
        <v>एपी टूरिज्म बोटिंग पॉइंट</v>
      </c>
      <c r="H124" s="10" t="str">
        <f>IFERROR(__xludf.DUMMYFUNCTION("GOOGLETRANSLATE(B124,""en"",""ta"")"),"ஏபி சுற்றுலா படகு முனையம்")</f>
        <v>ஏபி சுற்றுலா படகு முனையம்</v>
      </c>
      <c r="I124" s="10" t="str">
        <f>IFERROR(__xludf.DUMMYFUNCTION("GOOGLETRANSLATE(B124,""en"",""kn"")"),"ಎಪಿ ಪ್ರವಾಸೋದ್ಯಮ ದೋಣಿ ವಿಹಾರ ತಾಣ")</f>
        <v>ಎಪಿ ಪ್ರವಾಸೋದ್ಯಮ ದೋಣಿ ವಿಹಾರ ತಾಣ</v>
      </c>
      <c r="J124" s="10" t="str">
        <f>IFERROR(__xludf.DUMMYFUNCTION("GOOGLETRANSLATE(B124,""en"",""ml"")"),"എപി ടൂറിസം ബോട്ടിംഗ് പോയിന്റ്")</f>
        <v>എപി ടൂറിസം ബോട്ടിംഗ് പോയിന്റ്</v>
      </c>
      <c r="K124" s="12" t="s">
        <v>459</v>
      </c>
      <c r="L124" s="10" t="str">
        <f>IFERROR(__xludf.DUMMYFUNCTION("GOOGLETRANSLATE(K124,""en"",""te"")"),"ఆంధ్రప్రదేశ్ పర్యాటక శాఖ నిర్వహించే బోటింగ్ సౌకర్యం. పడవలు పర్యవేక్షణలో నిర్ణీత సమయాల్లో పనిచేస్తాయి. సాధారణంగా లైఫ్ జాకెట్లు అందించబడతాయి.")</f>
        <v>ఆంధ్రప్రదేశ్ పర్యాటక శాఖ నిర్వహించే బోటింగ్ సౌకర్యం. పడవలు పర్యవేక్షణలో నిర్ణీత సమయాల్లో పనిచేస్తాయి. సాధారణంగా లైఫ్ జాకెట్లు అందించబడతాయి.</v>
      </c>
      <c r="M124" s="10" t="str">
        <f>IFERROR(__xludf.DUMMYFUNCTION("GOOGLETRANSLATE(K124,""en"",""hi"")"),"आंध्र प्रदेश पर्यटन विभाग द्वारा संचालित नौका विहार सुविधा। नौकाएं निर्धारित समय पर और देखरेख में चलती हैं। आमतौर पर लाइफ जैकेट उपलब्ध कराई जाती हैं।")</f>
        <v>आंध्र प्रदेश पर्यटन विभाग द्वारा संचालित नौका विहार सुविधा। नौकाएं निर्धारित समय पर और देखरेख में चलती हैं। आमतौर पर लाइफ जैकेट उपलब्ध कराई जाती हैं।</v>
      </c>
      <c r="N124" s="10" t="str">
        <f>IFERROR(__xludf.DUMMYFUNCTION("GOOGLETRANSLATE(K124,""en"",""ta"")"),"ஆந்திரப் பிரதேச சுற்றுலாவால் நிர்வகிக்கப்படும் படகு சவாரி வசதி. மேற்பார்வையின் கீழ் படகுகள் நிலையான நேரங்களில் இயங்குகின்றன. பொதுவாக லைஃப் ஜாக்கெட்டுகள் வழங்கப்படுகின்றன.")</f>
        <v>ஆந்திரப் பிரதேச சுற்றுலாவால் நிர்வகிக்கப்படும் படகு சவாரி வசதி. மேற்பார்வையின் கீழ் படகுகள் நிலையான நேரங்களில் இயங்குகின்றன. பொதுவாக லைஃப் ஜாக்கெட்டுகள் வழங்கப்படுகின்றன.</v>
      </c>
      <c r="O124" s="10" t="str">
        <f>IFERROR(__xludf.DUMMYFUNCTION("GOOGLETRANSLATE(K124,""en"",""kn"")"),"ಆಂಧ್ರಪ್ರದೇಶ ಪ್ರವಾಸೋದ್ಯಮ ನಿರ್ವಹಿಸುವ ದೋಣಿ ವಿಹಾರ ಸೌಲಭ್ಯ. ದೋಣಿಗಳು ಮೇಲ್ವಿಚಾರಣೆಯಲ್ಲಿ ನಿಗದಿತ ಸಮಯದಲ್ಲಿ ಕಾರ್ಯನಿರ್ವಹಿಸುತ್ತವೆ. ಸಾಮಾನ್ಯವಾಗಿ ಲೈಫ್ ಜಾಕೆಟ್‌ಗಳನ್ನು ಒದಗಿಸಲಾಗುತ್ತದೆ.")</f>
        <v>ಆಂಧ್ರಪ್ರದೇಶ ಪ್ರವಾಸೋದ್ಯಮ ನಿರ್ವಹಿಸುವ ದೋಣಿ ವಿಹಾರ ಸೌಲಭ್ಯ. ದೋಣಿಗಳು ಮೇಲ್ವಿಚಾರಣೆಯಲ್ಲಿ ನಿಗದಿತ ಸಮಯದಲ್ಲಿ ಕಾರ್ಯನಿರ್ವಹಿಸುತ್ತವೆ. ಸಾಮಾನ್ಯವಾಗಿ ಲೈಫ್ ಜಾಕೆಟ್‌ಗಳನ್ನು ಒದಗಿಸಲಾಗುತ್ತದೆ.</v>
      </c>
      <c r="P124" s="10" t="str">
        <f>IFERROR(__xludf.DUMMYFUNCTION("GOOGLETRANSLATE(K124,""en"",""ml"")"),"ആന്ധ്രാപ്രദേശ് ടൂറിസം നിയന്ത്രിക്കുന്ന ഒരു ബോട്ടിംഗ് സൗകര്യം. മേൽനോട്ടത്തിൽ നിശ്ചിത സമയങ്ങളിൽ ബോട്ടുകൾ പ്രവർത്തിക്കുന്നു. സാധാരണയായി ലൈഫ് ജാക്കറ്റുകൾ നൽകാറുണ്ട്.")</f>
        <v>ആന്ധ്രാപ്രദേശ് ടൂറിസം നിയന്ത്രിക്കുന്ന ഒരു ബോട്ടിംഗ് സൗകര്യം. മേൽനോട്ടത്തിൽ നിശ്ചിത സമയങ്ങളിൽ ബോട്ടുകൾ പ്രവർത്തിക്കുന്നു. സാധാരണയായി ലൈഫ് ജാക്കറ്റുകൾ നൽകാറുണ്ട്.</v>
      </c>
    </row>
    <row r="125">
      <c r="A125" s="6">
        <f t="shared" si="1"/>
        <v>124</v>
      </c>
      <c r="B125" s="6" t="s">
        <v>460</v>
      </c>
      <c r="C125" s="6">
        <v>16.0808695</v>
      </c>
      <c r="D125" s="6">
        <v>78.8801586</v>
      </c>
      <c r="E125" s="5" t="s">
        <v>424</v>
      </c>
      <c r="F125" s="11" t="str">
        <f>IFERROR(__xludf.DUMMYFUNCTION("GOOGLETRANSLATE(B125,""en"",""te"")"),"APTDC బోటింగ్ పాయింట్")</f>
        <v>APTDC బోటింగ్ పాయింట్</v>
      </c>
      <c r="G125" s="10" t="str">
        <f>IFERROR(__xludf.DUMMYFUNCTION("GOOGLETRANSLATE(B125,""en"",""hi"")"),"एपीटीडीसी बोटिंग पॉइंट")</f>
        <v>एपीटीडीसी बोटिंग पॉइंट</v>
      </c>
      <c r="H125" s="10" t="str">
        <f>IFERROR(__xludf.DUMMYFUNCTION("GOOGLETRANSLATE(B125,""en"",""ta"")"),"APTDC படகு முனையம்")</f>
        <v>APTDC படகு முனையம்</v>
      </c>
      <c r="I125" s="10" t="str">
        <f>IFERROR(__xludf.DUMMYFUNCTION("GOOGLETRANSLATE(B125,""en"",""kn"")"),"ಎಪಿಟಿಡಿಸಿ ಬೋಟಿಂಗ್ ಪಾಯಿಂಟ್")</f>
        <v>ಎಪಿಟಿಡಿಸಿ ಬೋಟಿಂಗ್ ಪಾಯಿಂಟ್</v>
      </c>
      <c r="J125" s="10" t="str">
        <f>IFERROR(__xludf.DUMMYFUNCTION("GOOGLETRANSLATE(B125,""en"",""ml"")"),"എ.പി.ടി.ഡി.സി ബോട്ടിംഗ് പോയിന്റ്")</f>
        <v>എ.പി.ടി.ഡി.സി ബോട്ടിംഗ് പോയിന്റ്</v>
      </c>
      <c r="K125" s="12" t="s">
        <v>461</v>
      </c>
      <c r="L125" s="10" t="str">
        <f>IFERROR(__xludf.DUMMYFUNCTION("GOOGLETRANSLATE(K125,""en"",""te"")"),"APTDC నిర్వహించే అధికారిక బోటింగ్ యాక్సెస్ పాయింట్. ఇది సందర్శకులను చిన్న నది ప్రయాణాలకు అనుసంధానిస్తుంది. ప్రవేశం టికెట్ లభ్యత ద్వారా నియంత్రించబడుతుంది.")</f>
        <v>APTDC నిర్వహించే అధికారిక బోటింగ్ యాక్సెస్ పాయింట్. ఇది సందర్శకులను చిన్న నది ప్రయాణాలకు అనుసంధానిస్తుంది. ప్రవేశం టికెట్ లభ్యత ద్వారా నియంత్రించబడుతుంది.</v>
      </c>
      <c r="M125" s="10" t="str">
        <f>IFERROR(__xludf.DUMMYFUNCTION("GOOGLETRANSLATE(K125,""en"",""hi"")"),"यह APTDC द्वारा संचालित एक आधिकारिक नौका विहार प्रवेश बिंदु है। यह आगंतुकों को छोटी नदी यात्राओं से जोड़ता है। प्रवेश टिकट की उपलब्धता के अनुसार नियंत्रित होता है।")</f>
        <v>यह APTDC द्वारा संचालित एक आधिकारिक नौका विहार प्रवेश बिंदु है। यह आगंतुकों को छोटी नदी यात्राओं से जोड़ता है। प्रवेश टिकट की उपलब्धता के अनुसार नियंत्रित होता है।</v>
      </c>
      <c r="N125" s="10" t="str">
        <f>IFERROR(__xludf.DUMMYFUNCTION("GOOGLETRANSLATE(K125,""en"",""ta"")"),"APTDC ஆல் இயக்கப்படும் அதிகாரப்பூர்வ படகு சவாரி அணுகல் புள்ளி. இது பார்வையாளர்களை குறுகிய நதி சவாரிகளுக்கு இணைக்கிறது. நுழைவு டிக்கெட் கிடைப்பதைப் பொறுத்து கட்டுப்படுத்தப்படுகிறது.")</f>
        <v>APTDC ஆல் இயக்கப்படும் அதிகாரப்பூர்வ படகு சவாரி அணுகல் புள்ளி. இது பார்வையாளர்களை குறுகிய நதி சவாரிகளுக்கு இணைக்கிறது. நுழைவு டிக்கெட் கிடைப்பதைப் பொறுத்து கட்டுப்படுத்தப்படுகிறது.</v>
      </c>
      <c r="O125" s="10" t="str">
        <f>IFERROR(__xludf.DUMMYFUNCTION("GOOGLETRANSLATE(K125,""en"",""kn"")"),"APTDC ನಿರ್ವಹಿಸುವ ಅಧಿಕೃತ ದೋಣಿ ವಿಹಾರ ಪ್ರವೇಶ ಬಿಂದು. ಇದು ಸಂದರ್ಶಕರನ್ನು ಸಣ್ಣ ನದಿ ಸವಾರಿಗಳಿಗೆ ಸಂಪರ್ಕಿಸುತ್ತದೆ. ಪ್ರವೇಶವನ್ನು ಟಿಕೆಟ್ ಲಭ್ಯತೆಯಿಂದ ನಿಯಂತ್ರಿಸಲಾಗುತ್ತದೆ.")</f>
        <v>APTDC ನಿರ್ವಹಿಸುವ ಅಧಿಕೃತ ದೋಣಿ ವಿಹಾರ ಪ್ರವೇಶ ಬಿಂದು. ಇದು ಸಂದರ್ಶಕರನ್ನು ಸಣ್ಣ ನದಿ ಸವಾರಿಗಳಿಗೆ ಸಂಪರ್ಕಿಸುತ್ತದೆ. ಪ್ರವೇಶವನ್ನು ಟಿಕೆಟ್ ಲಭ್ಯತೆಯಿಂದ ನಿಯಂತ್ರಿಸಲಾಗುತ್ತದೆ.</v>
      </c>
      <c r="P125" s="10" t="str">
        <f>IFERROR(__xludf.DUMMYFUNCTION("GOOGLETRANSLATE(K125,""en"",""ml"")"),"APTDC നടത്തുന്ന ഒരു ഔദ്യോഗിക ബോട്ടിംഗ് ആക്‌സസ് പോയിന്റ്. ഇത് സന്ദർശകരെ ചെറിയ നദി യാത്രകളിലേക്ക് ബന്ധിപ്പിക്കുന്നു. ടിക്കറ്റ് ലഭ്യത അനുസരിച്ചാണ് പ്രവേശനം നിയന്ത്രിക്കുന്നത്.")</f>
        <v>APTDC നടത്തുന്ന ഒരു ഔദ്യോഗിക ബോട്ടിംഗ് ആക്‌സസ് പോയിന്റ്. ഇത് സന്ദർശകരെ ചെറിയ നദി യാത്രകളിലേക്ക് ബന്ധിപ്പിക്കുന്നു. ടിക്കറ്റ് ലഭ്യത അനുസരിച്ചാണ് പ്രവേശനം നിയന്ത്രിക്കുന്നത്.</v>
      </c>
    </row>
    <row r="126">
      <c r="A126" s="6">
        <f t="shared" si="1"/>
        <v>125</v>
      </c>
      <c r="B126" s="6" t="s">
        <v>462</v>
      </c>
      <c r="C126" s="6">
        <v>16.0805313</v>
      </c>
      <c r="D126" s="6">
        <v>78.8815557</v>
      </c>
      <c r="E126" s="5" t="s">
        <v>424</v>
      </c>
      <c r="F126" s="11" t="str">
        <f>IFERROR(__xludf.DUMMYFUNCTION("GOOGLETRANSLATE(B126,""en"",""te"")"),"బోటింగ్ పాయింట్")</f>
        <v>బోటింగ్ పాయింట్</v>
      </c>
      <c r="G126" s="10" t="str">
        <f>IFERROR(__xludf.DUMMYFUNCTION("GOOGLETRANSLATE(B126,""en"",""hi"")"),"नौका विहार स्थल")</f>
        <v>नौका विहार स्थल</v>
      </c>
      <c r="H126" s="10" t="str">
        <f>IFERROR(__xludf.DUMMYFUNCTION("GOOGLETRANSLATE(B126,""en"",""ta"")"),"படகு சவாரி மையம்")</f>
        <v>படகு சவாரி மையம்</v>
      </c>
      <c r="I126" s="10" t="str">
        <f>IFERROR(__xludf.DUMMYFUNCTION("GOOGLETRANSLATE(B126,""en"",""kn"")"),"ದೋಣಿ ವಿಹಾರ ತಾಣ")</f>
        <v>ದೋಣಿ ವಿಹಾರ ತಾಣ</v>
      </c>
      <c r="J126" s="10" t="str">
        <f>IFERROR(__xludf.DUMMYFUNCTION("GOOGLETRANSLATE(B126,""en"",""ml"")"),"ബോട്ടിംഗ് പോയിന്റ്")</f>
        <v>ബോട്ടിംഗ് പോയിന്റ്</v>
      </c>
      <c r="K126" s="12" t="s">
        <v>463</v>
      </c>
      <c r="L126" s="10" t="str">
        <f>IFERROR(__xludf.DUMMYFUNCTION("GOOGLETRANSLATE(K126,""en"",""te"")"),"నది బోటింగ్ కార్యకలాపాల కోసం ఒక సాధారణ బోర్డింగ్ ప్రాంతం. జనసమూహ స్థాయిలు మరియు నీటి పరిస్థితులపై యాక్సెస్ ఆధారపడి ఉంటుంది. బోర్డింగ్ సమయంలో సిబ్బంది సందర్శకులకు మార్గనిర్దేశం చేస్తారు.")</f>
        <v>నది బోటింగ్ కార్యకలాపాల కోసం ఒక సాధారణ బోర్డింగ్ ప్రాంతం. జనసమూహ స్థాయిలు మరియు నీటి పరిస్థితులపై యాక్సెస్ ఆధారపడి ఉంటుంది. బోర్డింగ్ సమయంలో సిబ్బంది సందర్శకులకు మార్గనిర్దేశం చేస్తారు.</v>
      </c>
      <c r="M126" s="10" t="str">
        <f>IFERROR(__xludf.DUMMYFUNCTION("GOOGLETRANSLATE(K126,""en"",""hi"")"),"नदी में नौका विहार गतिविधियों के लिए एक सामान्य बोर्डिंग क्षेत्र। प्रवेश भीड़ के स्तर और पानी की स्थिति पर निर्भर करता है। बोर्डिंग के दौरान कर्मचारी आगंतुकों का मार्गदर्शन करते हैं।")</f>
        <v>नदी में नौका विहार गतिविधियों के लिए एक सामान्य बोर्डिंग क्षेत्र। प्रवेश भीड़ के स्तर और पानी की स्थिति पर निर्भर करता है। बोर्डिंग के दौरान कर्मचारी आगंतुकों का मार्गदर्शन करते हैं।</v>
      </c>
      <c r="N126" s="10" t="str">
        <f>IFERROR(__xludf.DUMMYFUNCTION("GOOGLETRANSLATE(K126,""en"",""ta"")"),"நதி படகு சவாரி நடவடிக்கைகளுக்கான பொதுவான படகுப் பகுதி. கூட்டத்தின் அளவு மற்றும் நீர் நிலைகளைப் பொறுத்து அணுகல் இருக்கும். படகு ஏறும் போது பணியாளர்கள் பார்வையாளர்களுக்கு வழிகாட்டுகிறார்கள்.")</f>
        <v>நதி படகு சவாரி நடவடிக்கைகளுக்கான பொதுவான படகுப் பகுதி. கூட்டத்தின் அளவு மற்றும் நீர் நிலைகளைப் பொறுத்து அணுகல் இருக்கும். படகு ஏறும் போது பணியாளர்கள் பார்வையாளர்களுக்கு வழிகாட்டுகிறார்கள்.</v>
      </c>
      <c r="O126" s="10" t="str">
        <f>IFERROR(__xludf.DUMMYFUNCTION("GOOGLETRANSLATE(K126,""en"",""kn"")"),"ನದಿ ದೋಣಿ ವಿಹಾರ ಚಟುವಟಿಕೆಗಳಿಗೆ ಸಾಮಾನ್ಯ ಬೋರ್ಡಿಂಗ್ ಪ್ರದೇಶ. ಪ್ರವೇಶವು ಜನಸಂದಣಿಯ ಮಟ್ಟ ಮತ್ತು ನೀರಿನ ಪರಿಸ್ಥಿತಿಗಳನ್ನು ಅವಲಂಬಿಸಿರುತ್ತದೆ. ಬೋರ್ಡಿಂಗ್ ಸಮಯದಲ್ಲಿ ಸಿಬ್ಬಂದಿ ಸಂದರ್ಶಕರಿಗೆ ಮಾರ್ಗದರ್ಶನ ನೀಡುತ್ತಾರೆ.")</f>
        <v>ನದಿ ದೋಣಿ ವಿಹಾರ ಚಟುವಟಿಕೆಗಳಿಗೆ ಸಾಮಾನ್ಯ ಬೋರ್ಡಿಂಗ್ ಪ್ರದೇಶ. ಪ್ರವೇಶವು ಜನಸಂದಣಿಯ ಮಟ್ಟ ಮತ್ತು ನೀರಿನ ಪರಿಸ್ಥಿತಿಗಳನ್ನು ಅವಲಂಬಿಸಿರುತ್ತದೆ. ಬೋರ್ಡಿಂಗ್ ಸಮಯದಲ್ಲಿ ಸಿಬ್ಬಂದಿ ಸಂದರ್ಶಕರಿಗೆ ಮಾರ್ಗದರ್ಶನ ನೀಡುತ್ತಾರೆ.</v>
      </c>
      <c r="P126" s="10" t="str">
        <f>IFERROR(__xludf.DUMMYFUNCTION("GOOGLETRANSLATE(K126,""en"",""ml"")"),"നദിയിലെ ബോട്ടിംഗ് പ്രവർത്തനങ്ങൾക്കുള്ള ഒരു പൊതു ബോർഡിംഗ് ഏരിയ. ആൾക്കൂട്ടത്തിന്റെ നിലവാരത്തെയും ജലാശയങ്ങളെയും ആശ്രയിച്ചിരിക്കും പ്രവേശനം. ബോർഡിംഗ് സമയത്ത് ജീവനക്കാർ സന്ദർശകരെ നയിക്കുന്നു.")</f>
        <v>നദിയിലെ ബോട്ടിംഗ് പ്രവർത്തനങ്ങൾക്കുള്ള ഒരു പൊതു ബോർഡിംഗ് ഏരിയ. ആൾക്കൂട്ടത്തിന്റെ നിലവാരത്തെയും ജലാശയങ്ങളെയും ആശ്രയിച്ചിരിക്കും പ്രവേശനം. ബോർഡിംഗ് സമയത്ത് ജീവനക്കാർ സന്ദർശകരെ നയിക്കുന്നു.</v>
      </c>
    </row>
    <row r="127">
      <c r="A127" s="6">
        <f t="shared" si="1"/>
        <v>126</v>
      </c>
      <c r="B127" s="6" t="s">
        <v>464</v>
      </c>
      <c r="C127" s="6">
        <v>16.0811952</v>
      </c>
      <c r="D127" s="6">
        <v>78.880175</v>
      </c>
      <c r="E127" s="5" t="s">
        <v>424</v>
      </c>
      <c r="F127" s="11" t="str">
        <f>IFERROR(__xludf.DUMMYFUNCTION("GOOGLETRANSLATE(B127,""en"",""te"")"),"బోటింగ్ ప్లాట్‌ఫామ్")</f>
        <v>బోటింగ్ ప్లాట్‌ఫామ్</v>
      </c>
      <c r="G127" s="10" t="str">
        <f>IFERROR(__xludf.DUMMYFUNCTION("GOOGLETRANSLATE(B127,""en"",""hi"")"),"नौका विहार मंच")</f>
        <v>नौका विहार मंच</v>
      </c>
      <c r="H127" s="10" t="str">
        <f>IFERROR(__xludf.DUMMYFUNCTION("GOOGLETRANSLATE(B127,""en"",""ta"")"),"படகு சவாரி தளம்")</f>
        <v>படகு சவாரி தளம்</v>
      </c>
      <c r="I127" s="10" t="str">
        <f>IFERROR(__xludf.DUMMYFUNCTION("GOOGLETRANSLATE(B127,""en"",""kn"")"),"ದೋಣಿ ವಿಹಾರ ವೇದಿಕೆ")</f>
        <v>ದೋಣಿ ವಿಹಾರ ವೇದಿಕೆ</v>
      </c>
      <c r="J127" s="10" t="str">
        <f>IFERROR(__xludf.DUMMYFUNCTION("GOOGLETRANSLATE(B127,""en"",""ml"")"),"ബോട്ടിംഗ് പ്ലാറ്റ്‌ഫോം")</f>
        <v>ബോട്ടിംഗ് പ്ലാറ്റ്‌ഫോം</v>
      </c>
      <c r="K127" s="12" t="s">
        <v>465</v>
      </c>
      <c r="L127" s="10" t="str">
        <f>IFERROR(__xludf.DUMMYFUNCTION("GOOGLETRANSLATE(K127,""en"",""te"")"),"పడవలను సురక్షితంగా ఎక్కడానికి మరియు నిష్క్రమించడానికి ఉపయోగించే నిర్మించిన వేదిక. ఇది నది దగ్గర క్యూలు మరియు కదలికలను నిర్వహించడానికి సహాయపడుతుంది. వర్షాకాలంలో జారేది.")</f>
        <v>పడవలను సురక్షితంగా ఎక్కడానికి మరియు నిష్క్రమించడానికి ఉపయోగించే నిర్మించిన వేదిక. ఇది నది దగ్గర క్యూలు మరియు కదలికలను నిర్వహించడానికి సహాయపడుతుంది. వర్షాకాలంలో జారేది.</v>
      </c>
      <c r="M127" s="10" t="str">
        <f>IFERROR(__xludf.DUMMYFUNCTION("GOOGLETRANSLATE(K127,""en"",""hi"")"),"नावों में सुरक्षित रूप से चढ़ने और उतरने के लिए निर्मित चबूतरा। यह नदी के किनारे भीड़ और आवागमन को नियंत्रित करने में सहायक होता है। मानसून के मौसम में यह फिसलन भरा हो जाता है।")</f>
        <v>नावों में सुरक्षित रूप से चढ़ने और उतरने के लिए निर्मित चबूतरा। यह नदी के किनारे भीड़ और आवागमन को नियंत्रित करने में सहायक होता है। मानसून के मौसम में यह फिसलन भरा हो जाता है।</v>
      </c>
      <c r="N127" s="10" t="str">
        <f>IFERROR(__xludf.DUMMYFUNCTION("GOOGLETRANSLATE(K127,""en"",""ta"")"),"படகுகளில் பாதுகாப்பாக ஏறுவதற்கும் வெளியேறுவதற்கும் பயன்படுத்தப்படும் ஒரு கட்டமைக்கப்பட்ட தளம். இது ஆற்றின் அருகே வரிசைகள் மற்றும் இயக்கத்தை நிர்வகிக்க உதவுகிறது. மழைக்காலங்களில் வழுக்கும்.")</f>
        <v>படகுகளில் பாதுகாப்பாக ஏறுவதற்கும் வெளியேறுவதற்கும் பயன்படுத்தப்படும் ஒரு கட்டமைக்கப்பட்ட தளம். இது ஆற்றின் அருகே வரிசைகள் மற்றும் இயக்கத்தை நிர்வகிக்க உதவுகிறது. மழைக்காலங்களில் வழுக்கும்.</v>
      </c>
      <c r="O127" s="10" t="str">
        <f>IFERROR(__xludf.DUMMYFUNCTION("GOOGLETRANSLATE(K127,""en"",""kn"")"),"ದೋಣಿಗಳನ್ನು ಸುರಕ್ಷಿತವಾಗಿ ಹತ್ತಲು ಮತ್ತು ನಿರ್ಗಮಿಸಲು ಬಳಸಲಾಗುವ ನಿರ್ಮಿತ ವೇದಿಕೆ. ಇದು ನದಿಯ ಬಳಿ ಸರತಿ ಸಾಲುಗಳು ಮತ್ತು ಚಲನೆಯನ್ನು ನಿರ್ವಹಿಸಲು ಸಹಾಯ ಮಾಡುತ್ತದೆ. ಮಳೆಗಾಲದಲ್ಲಿ ಜಾರುವ.")</f>
        <v>ದೋಣಿಗಳನ್ನು ಸುರಕ್ಷಿತವಾಗಿ ಹತ್ತಲು ಮತ್ತು ನಿರ್ಗಮಿಸಲು ಬಳಸಲಾಗುವ ನಿರ್ಮಿತ ವೇದಿಕೆ. ಇದು ನದಿಯ ಬಳಿ ಸರತಿ ಸಾಲುಗಳು ಮತ್ತು ಚಲನೆಯನ್ನು ನಿರ್ವಹಿಸಲು ಸಹಾಯ ಮಾಡುತ್ತದೆ. ಮಳೆಗಾಲದಲ್ಲಿ ಜಾರುವ.</v>
      </c>
      <c r="P127" s="10" t="str">
        <f>IFERROR(__xludf.DUMMYFUNCTION("GOOGLETRANSLATE(K127,""en"",""ml"")"),"ബോട്ടുകളിൽ സുരക്ഷിതമായി കയറുന്നതിനും ഇറങ്ങുന്നതിനും ഉപയോഗിക്കുന്ന ഒരു നിർമ്മിത പ്ലാറ്റ്‌ഫോം. നദിക്കരയിലെ ക്യൂകളും ചലനങ്ങളും നിയന്ത്രിക്കാൻ ഇത് സഹായിക്കുന്നു. മഴക്കാലത്ത് വഴുക്കൽ.")</f>
        <v>ബോട്ടുകളിൽ സുരക്ഷിതമായി കയറുന്നതിനും ഇറങ്ങുന്നതിനും ഉപയോഗിക്കുന്ന ഒരു നിർമ്മിത പ്ലാറ്റ്‌ഫോം. നദിക്കരയിലെ ക്യൂകളും ചലനങ്ങളും നിയന്ത്രിക്കാൻ ഇത് സഹായിക്കുന്നു. മഴക്കാലത്ത് വഴുക്കൽ.</v>
      </c>
    </row>
    <row r="128">
      <c r="A128" s="6">
        <f t="shared" si="1"/>
        <v>127</v>
      </c>
      <c r="B128" s="6" t="s">
        <v>466</v>
      </c>
      <c r="C128" s="6">
        <v>16.0811356</v>
      </c>
      <c r="D128" s="6">
        <v>78.8800493</v>
      </c>
      <c r="E128" s="5" t="s">
        <v>424</v>
      </c>
      <c r="F128" s="11" t="str">
        <f>IFERROR(__xludf.DUMMYFUNCTION("GOOGLETRANSLATE(B128,""en"",""te"")"),"బోటింగ్ వ్యూ పాయింట్ 1, శ్రీశైలం (SBZ)")</f>
        <v>బోటింగ్ వ్యూ పాయింట్ 1, శ్రీశైలం (SBZ)</v>
      </c>
      <c r="G128" s="10" t="str">
        <f>IFERROR(__xludf.DUMMYFUNCTION("GOOGLETRANSLATE(B128,""en"",""hi"")"),"बोटिंग व्यू प्वाइंट 1, श्रीशैलम (एसबीजेड)")</f>
        <v>बोटिंग व्यू प्वाइंट 1, श्रीशैलम (एसबीजेड)</v>
      </c>
      <c r="H128" s="10" t="str">
        <f>IFERROR(__xludf.DUMMYFUNCTION("GOOGLETRANSLATE(B128,""en"",""ta"")"),"படகு சவாரி காட்சி புள்ளி 1, ஸ்ரீசைலம் (SBZ)")</f>
        <v>படகு சவாரி காட்சி புள்ளி 1, ஸ்ரீசைலம் (SBZ)</v>
      </c>
      <c r="I128" s="10" t="str">
        <f>IFERROR(__xludf.DUMMYFUNCTION("GOOGLETRANSLATE(B128,""en"",""kn"")"),"ಬೋಟಿಂಗ್ ವ್ಯೂ ಪಾಯಿಂಟ್ 1, ಶ್ರೀಶೈಲಂ (SBZ)")</f>
        <v>ಬೋಟಿಂಗ್ ವ್ಯೂ ಪಾಯಿಂಟ್ 1, ಶ್ರೀಶೈಲಂ (SBZ)</v>
      </c>
      <c r="J128" s="10" t="str">
        <f>IFERROR(__xludf.DUMMYFUNCTION("GOOGLETRANSLATE(B128,""en"",""ml"")"),"ബോട്ടിംഗ് വ്യൂ പോയിൻ്റ് 1, ശ്രീശൈലം (SBZ)")</f>
        <v>ബോട്ടിംഗ് വ്യൂ പോയിൻ്റ് 1, ശ്രീശൈലം (SBZ)</v>
      </c>
      <c r="K128" s="12" t="s">
        <v>467</v>
      </c>
      <c r="L128" s="10" t="str">
        <f>IFERROR(__xludf.DUMMYFUNCTION("GOOGLETRANSLATE(K128,""en"",""te"")"),"బోటింగ్ జోన్ దగ్గర వీక్షణా స్థలం. సందర్శకులు బోటింగ్ కార్యకలాపాలు మరియు నది కదలికలను చూడవచ్చు. ఇది ప్రధానంగా చిన్న స్టాపులకు ఉపయోగించబడుతుంది.")</f>
        <v>బోటింగ్ జోన్ దగ్గర వీక్షణా స్థలం. సందర్శకులు బోటింగ్ కార్యకలాపాలు మరియు నది కదలికలను చూడవచ్చు. ఇది ప్రధానంగా చిన్న స్టాపులకు ఉపయోగించబడుతుంది.</v>
      </c>
      <c r="M128" s="10" t="str">
        <f>IFERROR(__xludf.DUMMYFUNCTION("GOOGLETRANSLATE(K128,""en"",""hi"")"),"नौका विहार क्षेत्र के पास एक दर्शनीय स्थल। आगंतुक नौका विहार गतिविधियों और नदी की धारा को देख सकते हैं। इसका उपयोग मुख्य रूप से थोड़े समय के लिए रुकने के लिए किया जाता है।")</f>
        <v>नौका विहार क्षेत्र के पास एक दर्शनीय स्थल। आगंतुक नौका विहार गतिविधियों और नदी की धारा को देख सकते हैं। इसका उपयोग मुख्य रूप से थोड़े समय के लिए रुकने के लिए किया जाता है।</v>
      </c>
      <c r="N128" s="10" t="str">
        <f>IFERROR(__xludf.DUMMYFUNCTION("GOOGLETRANSLATE(K128,""en"",""ta"")"),"படகு சவாரி மண்டலத்திற்கு அருகிலுள்ள ஒரு பார்வை இடம். பார்வையாளர்கள் படகு சவாரி நடவடிக்கைகள் மற்றும் நதி இயக்கத்தைக் காணலாம். இது முக்கியமாக குறுகிய நிறுத்தங்களுக்குப் பயன்படுத்தப்படுகிறது.")</f>
        <v>படகு சவாரி மண்டலத்திற்கு அருகிலுள்ள ஒரு பார்வை இடம். பார்வையாளர்கள் படகு சவாரி நடவடிக்கைகள் மற்றும் நதி இயக்கத்தைக் காணலாம். இது முக்கியமாக குறுகிய நிறுத்தங்களுக்குப் பயன்படுத்தப்படுகிறது.</v>
      </c>
      <c r="O128" s="10" t="str">
        <f>IFERROR(__xludf.DUMMYFUNCTION("GOOGLETRANSLATE(K128,""en"",""kn"")"),"ದೋಣಿ ವಿಹಾರ ವಲಯದ ಬಳಿ ಇರುವ ವೀಕ್ಷಣಾ ಸ್ಥಳ. ಪ್ರವಾಸಿಗರು ದೋಣಿ ವಿಹಾರ ಚಟುವಟಿಕೆಗಳು ಮತ್ತು ನದಿ ಚಲನೆಯನ್ನು ವೀಕ್ಷಿಸಬಹುದು. ಇದನ್ನು ಮುಖ್ಯವಾಗಿ ಸಣ್ಣ ನಿಲ್ದಾಣಗಳಿಗೆ ಬಳಸಲಾಗುತ್ತದೆ.")</f>
        <v>ದೋಣಿ ವಿಹಾರ ವಲಯದ ಬಳಿ ಇರುವ ವೀಕ್ಷಣಾ ಸ್ಥಳ. ಪ್ರವಾಸಿಗರು ದೋಣಿ ವಿಹಾರ ಚಟುವಟಿಕೆಗಳು ಮತ್ತು ನದಿ ಚಲನೆಯನ್ನು ವೀಕ್ಷಿಸಬಹುದು. ಇದನ್ನು ಮುಖ್ಯವಾಗಿ ಸಣ್ಣ ನಿಲ್ದಾಣಗಳಿಗೆ ಬಳಸಲಾಗುತ್ತದೆ.</v>
      </c>
      <c r="P128" s="10" t="str">
        <f>IFERROR(__xludf.DUMMYFUNCTION("GOOGLETRANSLATE(K128,""en"",""ml"")"),"ബോട്ടിംഗ് സോണിന് സമീപമുള്ള ഒരു കാഴ്ചാ സ്ഥലം. സന്ദർശകർക്ക് ബോട്ടിംഗ് പ്രവർത്തനങ്ങളും നദിയുടെ ചലനവും കാണാൻ കഴിയും. ഇത് പ്രധാനമായും ചെറിയ സ്റ്റോപ്പുകൾക്കാണ് ഉപയോഗിക്കുന്നത്.")</f>
        <v>ബോട്ടിംഗ് സോണിന് സമീപമുള്ള ഒരു കാഴ്ചാ സ്ഥലം. സന്ദർശകർക്ക് ബോട്ടിംഗ് പ്രവർത്തനങ്ങളും നദിയുടെ ചലനവും കാണാൻ കഴിയും. ഇത് പ്രധാനമായും ചെറിയ സ്റ്റോപ്പുകൾക്കാണ് ഉപയോഗിക്കുന്നത്.</v>
      </c>
    </row>
    <row r="129">
      <c r="A129" s="6">
        <f t="shared" si="1"/>
        <v>128</v>
      </c>
      <c r="B129" s="6" t="s">
        <v>468</v>
      </c>
      <c r="C129" s="6">
        <v>16.0792903</v>
      </c>
      <c r="D129" s="6">
        <v>78.8772594</v>
      </c>
      <c r="E129" s="5" t="s">
        <v>424</v>
      </c>
      <c r="F129" s="11" t="str">
        <f>IFERROR(__xludf.DUMMYFUNCTION("GOOGLETRANSLATE(B129,""en"",""te"")"),"అక్కమహాదేవి గుహలు (టికెట్ కౌంటర్)")</f>
        <v>అక్కమహాదేవి గుహలు (టికెట్ కౌంటర్)</v>
      </c>
      <c r="G129" s="10" t="str">
        <f>IFERROR(__xludf.DUMMYFUNCTION("GOOGLETRANSLATE(B129,""en"",""hi"")"),"अक्कमहादेवी गुफाएं (टिकट काउंटर)")</f>
        <v>अक्कमहादेवी गुफाएं (टिकट काउंटर)</v>
      </c>
      <c r="H129" s="10" t="str">
        <f>IFERROR(__xludf.DUMMYFUNCTION("GOOGLETRANSLATE(B129,""en"",""ta"")"),"அக்கமஹாதேவி குகைகள் (டிக்கெட் கவுண்டர்)")</f>
        <v>அக்கமஹாதேவி குகைகள் (டிக்கெட் கவுண்டர்)</v>
      </c>
      <c r="I129" s="10" t="str">
        <f>IFERROR(__xludf.DUMMYFUNCTION("GOOGLETRANSLATE(B129,""en"",""kn"")"),"ಅಕ್ಕಮಹಾದೇವಿ ಗುಹೆಗಳು (ಟಿಕೆಟ್ ಕೌಂಟರ್)")</f>
        <v>ಅಕ್ಕಮಹಾದೇವಿ ಗುಹೆಗಳು (ಟಿಕೆಟ್ ಕೌಂಟರ್)</v>
      </c>
      <c r="J129" s="10" t="str">
        <f>IFERROR(__xludf.DUMMYFUNCTION("GOOGLETRANSLATE(B129,""en"",""ml"")"),"അക്കമഹാദേവി ഗുഹകൾ (ടിക്കറ്റ് കൗണ്ടർ)")</f>
        <v>അക്കമഹാദേവി ഗുഹകൾ (ടിക്കറ്റ് കൗണ്ടർ)</v>
      </c>
      <c r="K129" s="12" t="s">
        <v>469</v>
      </c>
      <c r="L129" s="10" t="str">
        <f>IFERROR(__xludf.DUMMYFUNCTION("GOOGLETRANSLATE(K129,""en"",""te"")"),"అక్కమహాదేవి గుహలకు ప్రవేశ టిక్కెట్లు కొనుగోలు చేయడానికి అధికారిక కౌంటర్. సందర్శకుల సమాచారం మరియు పడవ సమన్వయం ఇక్కడ నిర్వహించబడతాయి. టిక్కెట్లు తప్పనిసరి.")</f>
        <v>అక్కమహాదేవి గుహలకు ప్రవేశ టిక్కెట్లు కొనుగోలు చేయడానికి అధికారిక కౌంటర్. సందర్శకుల సమాచారం మరియు పడవ సమన్వయం ఇక్కడ నిర్వహించబడతాయి. టిక్కెట్లు తప్పనిసరి.</v>
      </c>
      <c r="M129" s="10" t="str">
        <f>IFERROR(__xludf.DUMMYFUNCTION("GOOGLETRANSLATE(K129,""en"",""hi"")"),"अक्कामहादेवी गुफाओं के प्रवेश टिकट खरीदने का आधिकारिक काउंटर। आगंतुकों को जानकारी प्रदान करने और नाव की व्यवस्था करने का कार्य यहीं किया जाता है। टिकट अनिवार्य है।")</f>
        <v>अक्कामहादेवी गुफाओं के प्रवेश टिकट खरीदने का आधिकारिक काउंटर। आगंतुकों को जानकारी प्रदान करने और नाव की व्यवस्था करने का कार्य यहीं किया जाता है। टिकट अनिवार्य है।</v>
      </c>
      <c r="N129" s="10" t="str">
        <f>IFERROR(__xludf.DUMMYFUNCTION("GOOGLETRANSLATE(K129,""en"",""ta"")"),"அக்கமஹாதேவி குகைகளுக்கு நுழைவுச் சீட்டுகளை வாங்குவதற்கான அதிகாரப்பூர்வ கவுண்டர். பார்வையாளர் தகவல் மற்றும் படகு ஒருங்கிணைப்பு இங்கே கையாளப்படுகிறது. டிக்கெட்டுகள் கட்டாயமாகும்.")</f>
        <v>அக்கமஹாதேவி குகைகளுக்கு நுழைவுச் சீட்டுகளை வாங்குவதற்கான அதிகாரப்பூர்வ கவுண்டர். பார்வையாளர் தகவல் மற்றும் படகு ஒருங்கிணைப்பு இங்கே கையாளப்படுகிறது. டிக்கெட்டுகள் கட்டாயமாகும்.</v>
      </c>
      <c r="O129" s="10" t="str">
        <f>IFERROR(__xludf.DUMMYFUNCTION("GOOGLETRANSLATE(K129,""en"",""kn"")"),"ಅಕ್ಕಮಹಾದೇವಿ ಗುಹೆಗಳಿಗೆ ಪ್ರವೇಶ ಟಿಕೆಟ್‌ಗಳನ್ನು ಖರೀದಿಸಲು ಅಧಿಕೃತ ಕೌಂಟರ್. ಸಂದರ್ಶಕರ ಮಾಹಿತಿ ಮತ್ತು ದೋಣಿ ಸಮನ್ವಯವನ್ನು ಇಲ್ಲಿ ನಿರ್ವಹಿಸಲಾಗುತ್ತದೆ. ಟಿಕೆಟ್‌ಗಳು ಕಡ್ಡಾಯ.")</f>
        <v>ಅಕ್ಕಮಹಾದೇವಿ ಗುಹೆಗಳಿಗೆ ಪ್ರವೇಶ ಟಿಕೆಟ್‌ಗಳನ್ನು ಖರೀದಿಸಲು ಅಧಿಕೃತ ಕೌಂಟರ್. ಸಂದರ್ಶಕರ ಮಾಹಿತಿ ಮತ್ತು ದೋಣಿ ಸಮನ್ವಯವನ್ನು ಇಲ್ಲಿ ನಿರ್ವಹಿಸಲಾಗುತ್ತದೆ. ಟಿಕೆಟ್‌ಗಳು ಕಡ್ಡಾಯ.</v>
      </c>
      <c r="P129" s="10" t="str">
        <f>IFERROR(__xludf.DUMMYFUNCTION("GOOGLETRANSLATE(K129,""en"",""ml"")"),"അക്കമഹാദേവി ഗുഹകളിലേക്കുള്ള പ്രവേശന ടിക്കറ്റുകൾ വാങ്ങുന്നതിനുള്ള ഔദ്യോഗിക കൗണ്ടർ. സന്ദർശക വിവരങ്ങളും ബോട്ട് ഏകോപനവും ഇവിടെ കൈകാര്യം ചെയ്യുന്നു. ടിക്കറ്റുകൾ നിർബന്ധമാണ്.")</f>
        <v>അക്കമഹാദേവി ഗുഹകളിലേക്കുള്ള പ്രവേശന ടിക്കറ്റുകൾ വാങ്ങുന്നതിനുള്ള ഔദ്യോഗിക കൗണ്ടർ. സന്ദർശക വിവരങ്ങളും ബോട്ട് ഏകോപനവും ഇവിടെ കൈകാര്യം ചെയ്യുന്നു. ടിക്കറ്റുകൾ നിർബന്ധമാണ്.</v>
      </c>
    </row>
    <row r="130">
      <c r="A130" s="6">
        <f t="shared" si="1"/>
        <v>129</v>
      </c>
      <c r="B130" s="6" t="s">
        <v>470</v>
      </c>
      <c r="C130" s="6">
        <v>16.078867</v>
      </c>
      <c r="D130" s="6">
        <v>78.8708045</v>
      </c>
      <c r="E130" s="5" t="s">
        <v>424</v>
      </c>
      <c r="F130" s="11" t="str">
        <f>IFERROR(__xludf.DUMMYFUNCTION("GOOGLETRANSLATE(B130,""en"",""te"")"),"రుద్రవనం పార్క్")</f>
        <v>రుద్రవనం పార్క్</v>
      </c>
      <c r="G130" s="10" t="str">
        <f>IFERROR(__xludf.DUMMYFUNCTION("GOOGLETRANSLATE(B130,""en"",""hi"")"),"रुद्रवनम पार्क")</f>
        <v>रुद्रवनम पार्क</v>
      </c>
      <c r="H130" s="10" t="str">
        <f>IFERROR(__xludf.DUMMYFUNCTION("GOOGLETRANSLATE(B130,""en"",""ta"")"),"ருத்ரவனம் பூங்கா")</f>
        <v>ருத்ரவனம் பூங்கா</v>
      </c>
      <c r="I130" s="10" t="str">
        <f>IFERROR(__xludf.DUMMYFUNCTION("GOOGLETRANSLATE(B130,""en"",""kn"")"),"ರುದ್ರವನಂ ಪಾರ್ಕ್")</f>
        <v>ರುದ್ರವನಂ ಪಾರ್ಕ್</v>
      </c>
      <c r="J130" s="10" t="str">
        <f>IFERROR(__xludf.DUMMYFUNCTION("GOOGLETRANSLATE(B130,""en"",""ml"")"),"രുദ്രവനം പാർക്ക്")</f>
        <v>രുദ്രവനം പാർക്ക്</v>
      </c>
      <c r="K130" s="12" t="s">
        <v>471</v>
      </c>
      <c r="L130" s="10" t="str">
        <f>IFERROR(__xludf.DUMMYFUNCTION("GOOGLETRANSLATE(K130,""en"",""te"")"),"విశ్రాంతి మరియు నడక కోసం నిర్వహించబడిన గ్రీన్ పార్క్ ప్రాంతం. ఇది చెట్లను నాటింది మరియు నీడ ఉన్న దారులు కలిగి ఉంది. కుటుంబాలకు మరియు వృద్ధుల సందర్శకులకు అనుకూలం.")</f>
        <v>విశ్రాంతి మరియు నడక కోసం నిర్వహించబడిన గ్రీన్ పార్క్ ప్రాంతం. ఇది చెట్లను నాటింది మరియు నీడ ఉన్న దారులు కలిగి ఉంది. కుటుంబాలకు మరియు వృద్ధుల సందర్శకులకు అనుకూలం.</v>
      </c>
      <c r="M130" s="10" t="str">
        <f>IFERROR(__xludf.DUMMYFUNCTION("GOOGLETRANSLATE(K130,""en"",""hi"")"),"विश्राम और सैर के लिए सुव्यवस्थित हरा-भरा पार्क क्षेत्र। इसमें पेड़-पौधे लगे हैं और छायादार रास्ते हैं। परिवारों और बुजुर्ग आगंतुकों के लिए उपयुक्त।")</f>
        <v>विश्राम और सैर के लिए सुव्यवस्थित हरा-भरा पार्क क्षेत्र। इसमें पेड़-पौधे लगे हैं और छायादार रास्ते हैं। परिवारों और बुजुर्ग आगंतुकों के लिए उपयुक्त।</v>
      </c>
      <c r="N130" s="10" t="str">
        <f>IFERROR(__xludf.DUMMYFUNCTION("GOOGLETRANSLATE(K130,""en"",""ta"")"),"ஓய்வெடுக்கவும் நடைபயிற்சி செய்யவும் பராமரிக்கப்படும் பசுமையான பூங்கா பகுதி. இது மரங்களை நட்டு நிழலாடிய பாதைகளைக் கொண்டுள்ளது. குடும்பங்கள் மற்றும் வயதான பார்வையாளர்களுக்கு ஏற்றது.")</f>
        <v>ஓய்வெடுக்கவும் நடைபயிற்சி செய்யவும் பராமரிக்கப்படும் பசுமையான பூங்கா பகுதி. இது மரங்களை நட்டு நிழலாடிய பாதைகளைக் கொண்டுள்ளது. குடும்பங்கள் மற்றும் வயதான பார்வையாளர்களுக்கு ஏற்றது.</v>
      </c>
      <c r="O130" s="10" t="str">
        <f>IFERROR(__xludf.DUMMYFUNCTION("GOOGLETRANSLATE(K130,""en"",""kn"")"),"ವಿಶ್ರಾಂತಿ ಮತ್ತು ನಡೆಯಲು ನಿರ್ವಹಿಸಲಾದ ಹಸಿರು ಉದ್ಯಾನವನ ಪ್ರದೇಶ. ಇದು ಮರಗಳನ್ನು ನೆಟ್ಟಿದೆ ಮತ್ತು ನೆರಳಿನ ಹಾದಿಗಳನ್ನು ಹೊಂದಿದೆ. ಕುಟುಂಬಗಳು ಮತ್ತು ವೃದ್ಧ ಸಂದರ್ಶಕರಿಗೆ ಸೂಕ್ತವಾಗಿದೆ.")</f>
        <v>ವಿಶ್ರಾಂತಿ ಮತ್ತು ನಡೆಯಲು ನಿರ್ವಹಿಸಲಾದ ಹಸಿರು ಉದ್ಯಾನವನ ಪ್ರದೇಶ. ಇದು ಮರಗಳನ್ನು ನೆಟ್ಟಿದೆ ಮತ್ತು ನೆರಳಿನ ಹಾದಿಗಳನ್ನು ಹೊಂದಿದೆ. ಕುಟುಂಬಗಳು ಮತ್ತು ವೃದ್ಧ ಸಂದರ್ಶಕರಿಗೆ ಸೂಕ್ತವಾಗಿದೆ.</v>
      </c>
      <c r="P130" s="10" t="str">
        <f>IFERROR(__xludf.DUMMYFUNCTION("GOOGLETRANSLATE(K130,""en"",""ml"")"),"വിശ്രമത്തിനും നടത്തത്തിനുമായി പരിപാലിക്കുന്ന ഒരു പച്ച പാർക്ക് ഏരിയ. അതിൽ മരങ്ങൾ നട്ടുപിടിപ്പിച്ചിരിക്കുന്നു, തണലുള്ള പാതകളും ഉണ്ട്. കുടുംബങ്ങൾക്കും പ്രായമായ സന്ദർശകർക്കും അനുയോജ്യം.")</f>
        <v>വിശ്രമത്തിനും നടത്തത്തിനുമായി പരിപാലിക്കുന്ന ഒരു പച്ച പാർക്ക് ഏരിയ. അതിൽ മരങ്ങൾ നട്ടുപിടിപ്പിച്ചിരിക്കുന്നു, തണലുള്ള പാതകളും ഉണ്ട്. കുടുംബങ്ങൾക്കും പ്രായമായ സന്ദർശകർക്കും അനുയോജ്യം.</v>
      </c>
    </row>
    <row r="131">
      <c r="A131" s="6">
        <f t="shared" si="1"/>
        <v>130</v>
      </c>
      <c r="B131" s="6" t="s">
        <v>472</v>
      </c>
      <c r="C131" s="6">
        <v>16.0727989</v>
      </c>
      <c r="D131" s="6">
        <v>78.8675463</v>
      </c>
      <c r="E131" s="5" t="s">
        <v>424</v>
      </c>
      <c r="F131" s="11" t="str">
        <f>IFERROR(__xludf.DUMMYFUNCTION("GOOGLETRANSLATE(B131,""en"",""te"")"),"శ్రీశైల దేవస్థానం పార్క్")</f>
        <v>శ్రీశైల దేవస్థానం పార్క్</v>
      </c>
      <c r="G131" s="10" t="str">
        <f>IFERROR(__xludf.DUMMYFUNCTION("GOOGLETRANSLATE(B131,""en"",""hi"")"),"श्रीशैल देवस्थानम पार्क")</f>
        <v>श्रीशैल देवस्थानम पार्क</v>
      </c>
      <c r="H131" s="10" t="str">
        <f>IFERROR(__xludf.DUMMYFUNCTION("GOOGLETRANSLATE(B131,""en"",""ta"")"),"ஸ்ரீசைல தேவஸ்தான பூங்கா")</f>
        <v>ஸ்ரீசைல தேவஸ்தான பூங்கா</v>
      </c>
      <c r="I131" s="10" t="str">
        <f>IFERROR(__xludf.DUMMYFUNCTION("GOOGLETRANSLATE(B131,""en"",""kn"")"),"ಶ್ರೀಶೈಲ ದೇವಸ್ಥಾನಂ ಪಾರ್ಕ್")</f>
        <v>ಶ್ರೀಶೈಲ ದೇವಸ್ಥಾನಂ ಪಾರ್ಕ್</v>
      </c>
      <c r="J131" s="10" t="str">
        <f>IFERROR(__xludf.DUMMYFUNCTION("GOOGLETRANSLATE(B131,""en"",""ml"")"),"ശ്രീശൈല ദേവസ്ഥാനം പാർക്ക്")</f>
        <v>ശ്രീശൈല ദേവസ്ഥാനം പാർക്ക്</v>
      </c>
      <c r="K131" s="12" t="s">
        <v>473</v>
      </c>
      <c r="L131" s="10" t="str">
        <f>IFERROR(__xludf.DUMMYFUNCTION("GOOGLETRANSLATE(K131,""en"",""te"")"),"ఆలయ అధికారులు నిర్వహించే ఉద్యానవనం. ఇది ఆలయ పరిసరాల దగ్గర కూర్చోవడానికి మరియు నడవడానికి స్థలాన్ని అందిస్తుంది. పరిశుభ్రత క్రమం తప్పకుండా నిర్వహించబడుతుంది.")</f>
        <v>ఆలయ అధికారులు నిర్వహించే ఉద్యానవనం. ఇది ఆలయ పరిసరాల దగ్గర కూర్చోవడానికి మరియు నడవడానికి స్థలాన్ని అందిస్తుంది. పరిశుభ్రత క్రమం తప్పకుండా నిర్వహించబడుతుంది.</v>
      </c>
      <c r="M131" s="10" t="str">
        <f>IFERROR(__xludf.DUMMYFUNCTION("GOOGLETRANSLATE(K131,""en"",""hi"")"),"यह पार्क मंदिर अधिकारियों द्वारा अनुरक्षित है। यह मंदिर परिसर के पास बैठने और टहलने की जगह प्रदान करता है। इसकी नियमित रूप से सफाई की जाती है।")</f>
        <v>यह पार्क मंदिर अधिकारियों द्वारा अनुरक्षित है। यह मंदिर परिसर के पास बैठने और टहलने की जगह प्रदान करता है। इसकी नियमित रूप से सफाई की जाती है।</v>
      </c>
      <c r="N131" s="10" t="str">
        <f>IFERROR(__xludf.DUMMYFUNCTION("GOOGLETRANSLATE(K131,""en"",""ta"")"),"கோயில் அதிகாரிகளால் பராமரிக்கப்படும் பூங்கா. கோயில் சுற்றுப்புறங்களுக்கு அருகில் இருக்கை மற்றும் நடைபயிற்சிக்கான இடத்தை இது வழங்குகிறது. தூய்மை தொடர்ந்து நிர்வகிக்கப்படுகிறது.")</f>
        <v>கோயில் அதிகாரிகளால் பராமரிக்கப்படும் பூங்கா. கோயில் சுற்றுப்புறங்களுக்கு அருகில் இருக்கை மற்றும் நடைபயிற்சிக்கான இடத்தை இது வழங்குகிறது. தூய்மை தொடர்ந்து நிர்வகிக்கப்படுகிறது.</v>
      </c>
      <c r="O131" s="10" t="str">
        <f>IFERROR(__xludf.DUMMYFUNCTION("GOOGLETRANSLATE(K131,""en"",""kn"")"),"ದೇವಾಲಯದ ಅಧಿಕಾರಿಗಳು ನಿರ್ವಹಿಸುವ ಉದ್ಯಾನವನ. ಇದು ದೇವಾಲಯದ ಸುತ್ತಮುತ್ತಲಿನ ಪ್ರದೇಶಗಳಲ್ಲಿ ಕುಳಿತುಕೊಳ್ಳಲು ಮತ್ತು ನಡೆಯಲು ಸ್ಥಳಾವಕಾಶವನ್ನು ಒದಗಿಸುತ್ತದೆ. ಶುಚಿತ್ವವನ್ನು ನಿಯಮಿತವಾಗಿ ನಿರ್ವಹಿಸಲಾಗುತ್ತದೆ.")</f>
        <v>ದೇವಾಲಯದ ಅಧಿಕಾರಿಗಳು ನಿರ್ವಹಿಸುವ ಉದ್ಯಾನವನ. ಇದು ದೇವಾಲಯದ ಸುತ್ತಮುತ್ತಲಿನ ಪ್ರದೇಶಗಳಲ್ಲಿ ಕುಳಿತುಕೊಳ್ಳಲು ಮತ್ತು ನಡೆಯಲು ಸ್ಥಳಾವಕಾಶವನ್ನು ಒದಗಿಸುತ್ತದೆ. ಶುಚಿತ್ವವನ್ನು ನಿಯಮಿತವಾಗಿ ನಿರ್ವಹಿಸಲಾಗುತ್ತದೆ.</v>
      </c>
      <c r="P131" s="10" t="str">
        <f>IFERROR(__xludf.DUMMYFUNCTION("GOOGLETRANSLATE(K131,""en"",""ml"")"),"ക്ഷേത്ര അധികാരികൾ പരിപാലിക്കുന്ന ഒരു പാർക്ക്. ക്ഷേത്ര പരിസരത്ത് ഇരിപ്പിടങ്ങളും നടക്കാനുള്ള സൗകര്യവും ഇവിടെയുണ്ട്. ശുചിത്വം പതിവായി പരിപാലിക്കപ്പെടുന്നു.")</f>
        <v>ക്ഷേത്ര അധികാരികൾ പരിപാലിക്കുന്ന ഒരു പാർക്ക്. ക്ഷേത്ര പരിസരത്ത് ഇരിപ്പിടങ്ങളും നടക്കാനുള്ള സൗകര്യവും ഇവിടെയുണ്ട്. ശുചിത്വം പതിവായി പരിപാലിക്കപ്പെടുന്നു.</v>
      </c>
    </row>
    <row r="132">
      <c r="A132" s="6">
        <f t="shared" si="1"/>
        <v>131</v>
      </c>
      <c r="B132" s="6" t="s">
        <v>474</v>
      </c>
      <c r="C132" s="6">
        <v>16.0746635</v>
      </c>
      <c r="D132" s="6">
        <v>78.8699513</v>
      </c>
      <c r="E132" s="5" t="s">
        <v>424</v>
      </c>
      <c r="F132" s="11" t="str">
        <f>IFERROR(__xludf.DUMMYFUNCTION("GOOGLETRANSLATE(B132,""en"",""te"")"),"ఆలయ చెరువు దగ్గర శ్రీశైలం పార్క్ (ఈ-టాయిలెట్లు)")</f>
        <v>ఆలయ చెరువు దగ్గర శ్రీశైలం పార్క్ (ఈ-టాయిలెట్లు)</v>
      </c>
      <c r="G132" s="10" t="str">
        <f>IFERROR(__xludf.DUMMYFUNCTION("GOOGLETRANSLATE(B132,""en"",""hi"")"),"मंदिर तालाब के पास श्रीशैलम पार्क (ई-शौचालय)")</f>
        <v>मंदिर तालाब के पास श्रीशैलम पार्क (ई-शौचालय)</v>
      </c>
      <c r="H132" s="10" t="str">
        <f>IFERROR(__xludf.DUMMYFUNCTION("GOOGLETRANSLATE(B132,""en"",""ta"")"),"கோவில் குளத்திற்கு அருகில் உள்ள ஸ்ரீசைலம் பூங்கா (இ-டாய்லெட்ஸ்)")</f>
        <v>கோவில் குளத்திற்கு அருகில் உள்ள ஸ்ரீசைலம் பூங்கா (இ-டாய்லெட்ஸ்)</v>
      </c>
      <c r="I132" s="10" t="str">
        <f>IFERROR(__xludf.DUMMYFUNCTION("GOOGLETRANSLATE(B132,""en"",""kn"")"),"ದೇವಸ್ಥಾನದ ಕೊಳದ ಬಳಿ ಶ್ರೀಶೈಲಂ ಪಾರ್ಕ್ (ಇ-ಶೌಚಾಲಯಗಳು)")</f>
        <v>ದೇವಸ್ಥಾನದ ಕೊಳದ ಬಳಿ ಶ್ರೀಶೈಲಂ ಪಾರ್ಕ್ (ಇ-ಶೌಚಾಲಯಗಳು)</v>
      </c>
      <c r="J132" s="10" t="str">
        <f>IFERROR(__xludf.DUMMYFUNCTION("GOOGLETRANSLATE(B132,""en"",""ml"")"),"ക്ഷേത്രക്കുളത്തിന് സമീപമുള്ള ശ്രീശൈലം പാർക്ക് (ഇ-ടോയ്‌ലെറ്റുകൾ)")</f>
        <v>ക്ഷേത്രക്കുളത്തിന് സമീപമുള്ള ശ്രീശൈലം പാർക്ക് (ഇ-ടോയ്‌ലെറ്റുകൾ)</v>
      </c>
      <c r="K132" s="12" t="s">
        <v>475</v>
      </c>
      <c r="L132" s="10" t="str">
        <f>IFERROR(__xludf.DUMMYFUNCTION("GOOGLETRANSLATE(K132,""en"",""te"")"),"ఆలయ చెరువు దగ్గర ఉన్న ఒక చిన్న ఉద్యానవనం. సందర్శకుల కోసం ఎలక్ట్రానిక్ టాయిలెట్ సౌకర్యాలు ఇందులో ఉన్నాయి. చిన్న విశ్రాంతి విరామాలకు ఉపయోగపడుతుంది.")</f>
        <v>ఆలయ చెరువు దగ్గర ఉన్న ఒక చిన్న ఉద్యానవనం. సందర్శకుల కోసం ఎలక్ట్రానిక్ టాయిలెట్ సౌకర్యాలు ఇందులో ఉన్నాయి. చిన్న విశ్రాంతి విరామాలకు ఉపయోగపడుతుంది.</v>
      </c>
      <c r="M132" s="10" t="str">
        <f>IFERROR(__xludf.DUMMYFUNCTION("GOOGLETRANSLATE(K132,""en"",""hi"")"),"मंदिर के तालाब के पास स्थित एक छोटा सा पार्क क्षेत्र। इसमें आगंतुकों के लिए इलेक्ट्रॉनिक शौचालय की सुविधा उपलब्ध है। थोड़े समय के विश्राम के लिए उपयोगी।")</f>
        <v>मंदिर के तालाब के पास स्थित एक छोटा सा पार्क क्षेत्र। इसमें आगंतुकों के लिए इलेक्ट्रॉनिक शौचालय की सुविधा उपलब्ध है। थोड़े समय के विश्राम के लिए उपयोगी।</v>
      </c>
      <c r="N132" s="10" t="str">
        <f>IFERROR(__xludf.DUMMYFUNCTION("GOOGLETRANSLATE(K132,""en"",""ta"")"),"கோயில் குளத்திற்கு அருகில் அமைந்துள்ள ஒரு சிறிய பூங்கா பகுதி. பார்வையாளர்களுக்கான மின்னணு கழிப்பறை வசதிகள் இதில் அடங்கும். குறுகிய ஓய்வு நிறுத்தங்களுக்கு பயனுள்ளதாக இருக்கும்.")</f>
        <v>கோயில் குளத்திற்கு அருகில் அமைந்துள்ள ஒரு சிறிய பூங்கா பகுதி. பார்வையாளர்களுக்கான மின்னணு கழிப்பறை வசதிகள் இதில் அடங்கும். குறுகிய ஓய்வு நிறுத்தங்களுக்கு பயனுள்ளதாக இருக்கும்.</v>
      </c>
      <c r="O132" s="10" t="str">
        <f>IFERROR(__xludf.DUMMYFUNCTION("GOOGLETRANSLATE(K132,""en"",""kn"")"),"ದೇವಾಲಯದ ಕೊಳದ ಬಳಿ ಇರುವ ಒಂದು ಸಣ್ಣ ಉದ್ಯಾನವನ ಪ್ರದೇಶ. ಇದು ಸಂದರ್ಶಕರಿಗೆ ಎಲೆಕ್ಟ್ರಾನಿಕ್ ಶೌಚಾಲಯ ಸೌಲಭ್ಯಗಳನ್ನು ಒಳಗೊಂಡಿದೆ. ಸಣ್ಣ ವಿಶ್ರಾಂತಿ ನಿಲ್ದಾಣಗಳಿಗೆ ಉಪಯುಕ್ತವಾಗಿದೆ.")</f>
        <v>ದೇವಾಲಯದ ಕೊಳದ ಬಳಿ ಇರುವ ಒಂದು ಸಣ್ಣ ಉದ್ಯಾನವನ ಪ್ರದೇಶ. ಇದು ಸಂದರ್ಶಕರಿಗೆ ಎಲೆಕ್ಟ್ರಾನಿಕ್ ಶೌಚಾಲಯ ಸೌಲಭ್ಯಗಳನ್ನು ಒಳಗೊಂಡಿದೆ. ಸಣ್ಣ ವಿಶ್ರಾಂತಿ ನಿಲ್ದಾಣಗಳಿಗೆ ಉಪಯುಕ್ತವಾಗಿದೆ.</v>
      </c>
      <c r="P132" s="10" t="str">
        <f>IFERROR(__xludf.DUMMYFUNCTION("GOOGLETRANSLATE(K132,""en"",""ml"")"),"ക്ഷേത്രക്കുളത്തിനടുത്തുള്ള ഒരു ചെറിയ പാർക്ക് ഏരിയ. സന്ദർശകർക്കായി ഇലക്ട്രോണിക് ടോയ്‌ലറ്റ് സൗകര്യങ്ങളും ഇതിൽ ഉൾപ്പെടുന്നു. ചെറിയ വിശ്രമ സ്ഥലങ്ങൾക്ക് ഉപയോഗപ്രദമാണ്.")</f>
        <v>ക്ഷേത്രക്കുളത്തിനടുത്തുള്ള ഒരു ചെറിയ പാർക്ക് ഏരിയ. സന്ദർശകർക്കായി ഇലക്ട്രോണിക് ടോയ്‌ലറ്റ് സൗകര്യങ്ങളും ഇതിൽ ഉൾപ്പെടുന്നു. ചെറിയ വിശ്രമ സ്ഥലങ്ങൾക്ക് ഉപയോഗപ്രദമാണ്.</v>
      </c>
    </row>
    <row r="133">
      <c r="A133" s="6">
        <f t="shared" si="1"/>
        <v>132</v>
      </c>
      <c r="B133" s="6" t="s">
        <v>476</v>
      </c>
      <c r="C133" s="6">
        <v>16.0690381</v>
      </c>
      <c r="D133" s="6">
        <v>78.8717919</v>
      </c>
      <c r="E133" s="5" t="s">
        <v>424</v>
      </c>
      <c r="F133" s="11" t="str">
        <f>IFERROR(__xludf.DUMMYFUNCTION("GOOGLETRANSLATE(B133,""en"",""te"")"),"శ్రీశైల థీమ్ పార్కులు")</f>
        <v>శ్రీశైల థీమ్ పార్కులు</v>
      </c>
      <c r="G133" s="10" t="str">
        <f>IFERROR(__xludf.DUMMYFUNCTION("GOOGLETRANSLATE(B133,""en"",""hi"")"),"श्रीसैला थीम पार्क")</f>
        <v>श्रीसैला थीम पार्क</v>
      </c>
      <c r="H133" s="8" t="s">
        <v>477</v>
      </c>
      <c r="I133" s="8" t="s">
        <v>478</v>
      </c>
      <c r="J133" s="8" t="s">
        <v>479</v>
      </c>
      <c r="K133" s="12" t="s">
        <v>480</v>
      </c>
      <c r="L133" s="10" t="str">
        <f>IFERROR(__xludf.DUMMYFUNCTION("GOOGLETRANSLATE(K133,""en"",""te"")"),"ప్రకృతి దృశ్యాలతో అలంకరించబడిన విభాగాలు మరియు నేపథ్య అంశాలతో కూడిన వినోద ప్రదేశం. ప్రధానంగా విశ్రాంతి నడకలు మరియు కుటుంబ సందర్శనల కోసం ఉపయోగిస్తారు. సౌకర్యాలు ప్రాథమికమైనవి.")</f>
        <v>ప్రకృతి దృశ్యాలతో అలంకరించబడిన విభాగాలు మరియు నేపథ్య అంశాలతో కూడిన వినోద ప్రదేశం. ప్రధానంగా విశ్రాంతి నడకలు మరియు కుటుంబ సందర్శనల కోసం ఉపయోగిస్తారు. సౌకర్యాలు ప్రాథమికమైనవి.</v>
      </c>
      <c r="M133" s="10" t="str">
        <f>IFERROR(__xludf.DUMMYFUNCTION("GOOGLETRANSLATE(K133,""en"",""hi"")"),"यह एक मनोरंजक क्षेत्र है जिसमें हरे-भरे भूदृश्य और विशिष्ट थीम वाले तत्व शामिल हैं। इसका मुख्य उपयोग आराम से टहलने और पारिवारिक भ्रमण के लिए किया जाता है। सुविधाएं बुनियादी हैं।")</f>
        <v>यह एक मनोरंजक क्षेत्र है जिसमें हरे-भरे भूदृश्य और विशिष्ट थीम वाले तत्व शामिल हैं। इसका मुख्य उपयोग आराम से टहलने और पारिवारिक भ्रमण के लिए किया जाता है। सुविधाएं बुनियादी हैं।</v>
      </c>
      <c r="N133" s="10" t="str">
        <f>IFERROR(__xludf.DUMMYFUNCTION("GOOGLETRANSLATE(K133,""en"",""ta"")"),"நிலப்பரப்பு பகுதிகள் மற்றும் கருப்பொருள் கூறுகளைக் கொண்ட பொழுதுபோக்கு பகுதி. முக்கியமாக ஓய்வு நடைப்பயணங்கள் மற்றும் குடும்ப வருகைகளுக்குப் பயன்படுத்தப்படுகிறது. அடிப்படை வசதிகள் உள்ளன.")</f>
        <v>நிலப்பரப்பு பகுதிகள் மற்றும் கருப்பொருள் கூறுகளைக் கொண்ட பொழுதுபோக்கு பகுதி. முக்கியமாக ஓய்வு நடைப்பயணங்கள் மற்றும் குடும்ப வருகைகளுக்குப் பயன்படுத்தப்படுகிறது. அடிப்படை வசதிகள் உள்ளன.</v>
      </c>
      <c r="O133" s="10" t="str">
        <f>IFERROR(__xludf.DUMMYFUNCTION("GOOGLETRANSLATE(K133,""en"",""kn"")"),"ಭೂದೃಶ್ಯದ ವಿಭಾಗಗಳು ಮತ್ತು ಥೀಮ್ ಅಂಶಗಳನ್ನು ಹೊಂದಿರುವ ಮನರಂಜನಾ ಪ್ರದೇಶ. ಮುಖ್ಯವಾಗಿ ವಿರಾಮ ನಡಿಗೆಗಳು ಮತ್ತು ಕುಟುಂಬ ಭೇಟಿಗಳಿಗೆ ಬಳಸಲಾಗುತ್ತದೆ. ಸೌಲಭ್ಯಗಳು ಮೂಲಭೂತವಾಗಿವೆ.")</f>
        <v>ಭೂದೃಶ್ಯದ ವಿಭಾಗಗಳು ಮತ್ತು ಥೀಮ್ ಅಂಶಗಳನ್ನು ಹೊಂದಿರುವ ಮನರಂಜನಾ ಪ್ರದೇಶ. ಮುಖ್ಯವಾಗಿ ವಿರಾಮ ನಡಿಗೆಗಳು ಮತ್ತು ಕುಟುಂಬ ಭೇಟಿಗಳಿಗೆ ಬಳಸಲಾಗುತ್ತದೆ. ಸೌಲಭ್ಯಗಳು ಮೂಲಭೂತವಾಗಿವೆ.</v>
      </c>
      <c r="P133" s="10" t="str">
        <f>IFERROR(__xludf.DUMMYFUNCTION("GOOGLETRANSLATE(K133,""en"",""ml"")"),"ലാൻഡ്‌സ്‌കേപ്പ് ചെയ്ത ഭാഗങ്ങളും തീം ഘടകങ്ങളുമുള്ള ഒരു വിനോദ മേഖല. പ്രധാനമായും ഒഴിവുസമയ നടത്തത്തിനും കുടുംബ സന്ദർശനങ്ങൾക്കും ഉപയോഗിക്കുന്നു. അടിസ്ഥാന സൗകര്യങ്ങൾ.")</f>
        <v>ലാൻഡ്‌സ്‌കേപ്പ് ചെയ്ത ഭാഗങ്ങളും തീം ഘടകങ്ങളുമുള്ള ഒരു വിനോദ മേഖല. പ്രധാനമായും ഒഴിവുസമയ നടത്തത്തിനും കുടുംബ സന്ദർശനങ്ങൾക്കും ഉപയോഗിക്കുന്നു. അടിസ്ഥാന സൗകര്യങ്ങൾ.</v>
      </c>
    </row>
    <row r="134">
      <c r="A134" s="6">
        <f t="shared" si="1"/>
        <v>133</v>
      </c>
      <c r="B134" s="6" t="s">
        <v>481</v>
      </c>
      <c r="C134" s="6">
        <v>16.0694539</v>
      </c>
      <c r="D134" s="6">
        <v>78.8708328</v>
      </c>
      <c r="E134" s="5" t="s">
        <v>424</v>
      </c>
      <c r="F134" s="11" t="str">
        <f>IFERROR(__xludf.DUMMYFUNCTION("GOOGLETRANSLATE(B134,""en"",""te"")"),"నంది పార్క్")</f>
        <v>నంది పార్క్</v>
      </c>
      <c r="G134" s="10" t="str">
        <f>IFERROR(__xludf.DUMMYFUNCTION("GOOGLETRANSLATE(B134,""en"",""hi"")"),"नंदी पार्क")</f>
        <v>नंदी पार्क</v>
      </c>
      <c r="H134" s="10" t="str">
        <f>IFERROR(__xludf.DUMMYFUNCTION("GOOGLETRANSLATE(B134,""en"",""ta"")"),"நந்தி பூங்கா")</f>
        <v>நந்தி பூங்கா</v>
      </c>
      <c r="I134" s="10" t="str">
        <f>IFERROR(__xludf.DUMMYFUNCTION("GOOGLETRANSLATE(B134,""en"",""kn"")"),"ನಂದಿ ಪಾರ್ಕ್")</f>
        <v>ನಂದಿ ಪಾರ್ಕ್</v>
      </c>
      <c r="J134" s="10" t="str">
        <f>IFERROR(__xludf.DUMMYFUNCTION("GOOGLETRANSLATE(B134,""en"",""ml"")"),"നന്ദി പാർക്ക്")</f>
        <v>നന്ദി പാർക്ക്</v>
      </c>
      <c r="K134" s="12" t="s">
        <v>482</v>
      </c>
      <c r="L134" s="10" t="str">
        <f>IFERROR(__xludf.DUMMYFUNCTION("GOOGLETRANSLATE(K134,""en"",""te"")"),"సందర్శకుల విశ్రాంతి మరియు కదలిక కోసం అంకితం చేయబడిన ఉద్యానవనం. ఇది సీటింగ్ ఏర్పాట్లు మరియు పచ్చదనాన్ని కలిగి ఉంది. ప్రధాన సందర్శకుల మార్గాలకు దగ్గరగా ఉంది.")</f>
        <v>సందర్శకుల విశ్రాంతి మరియు కదలిక కోసం అంకితం చేయబడిన ఉద్యానవనం. ఇది సీటింగ్ ఏర్పాట్లు మరియు పచ్చదనాన్ని కలిగి ఉంది. ప్రధాన సందర్శకుల మార్గాలకు దగ్గరగా ఉంది.</v>
      </c>
      <c r="M134" s="10" t="str">
        <f>IFERROR(__xludf.DUMMYFUNCTION("GOOGLETRANSLATE(K134,""en"",""hi"")"),"यह पार्क क्षेत्र आगंतुकों के विश्राम और भ्रमण के लिए समर्पित है। इसमें बैठने की व्यवस्था और हरियाली है। यह मुख्य पर्यटक मार्गों के निकट स्थित है।")</f>
        <v>यह पार्क क्षेत्र आगंतुकों के विश्राम और भ्रमण के लिए समर्पित है। इसमें बैठने की व्यवस्था और हरियाली है। यह मुख्य पर्यटक मार्गों के निकट स्थित है।</v>
      </c>
      <c r="N134" s="10" t="str">
        <f>IFERROR(__xludf.DUMMYFUNCTION("GOOGLETRANSLATE(K134,""en"",""ta"")"),"பார்வையாளர்கள் ஓய்வெடுப்பதற்கும், நடமாட்டத்திற்கும் அர்ப்பணிக்கப்பட்ட பூங்கா பகுதி. இருக்கை ஏற்பாடுகள் மற்றும் பசுமையான சூழல் கொண்டது. முக்கிய பார்வையாளர் பாதைகளுக்கு அருகில் அமைந்துள்ளது.")</f>
        <v>பார்வையாளர்கள் ஓய்வெடுப்பதற்கும், நடமாட்டத்திற்கும் அர்ப்பணிக்கப்பட்ட பூங்கா பகுதி. இருக்கை ஏற்பாடுகள் மற்றும் பசுமையான சூழல் கொண்டது. முக்கிய பார்வையாளர் பாதைகளுக்கு அருகில் அமைந்துள்ளது.</v>
      </c>
      <c r="O134" s="10" t="str">
        <f>IFERROR(__xludf.DUMMYFUNCTION("GOOGLETRANSLATE(K134,""en"",""kn"")"),"ಪ್ರವಾಸಿಗರ ವಿಶ್ರಾಂತಿ ಮತ್ತು ಚಲನೆಗಾಗಿ ಮೀಸಲಾದ ಉದ್ಯಾನವನ ಪ್ರದೇಶ. ಇದು ಆಸನ ವ್ಯವಸ್ಥೆ ಮತ್ತು ಹಸಿರನ್ನು ಹೊಂದಿದೆ. ಮುಖ್ಯ ಸಂದರ್ಶಕ ಮಾರ್ಗಗಳಿಗೆ ಹತ್ತಿರದಲ್ಲಿದೆ.")</f>
        <v>ಪ್ರವಾಸಿಗರ ವಿಶ್ರಾಂತಿ ಮತ್ತು ಚಲನೆಗಾಗಿ ಮೀಸಲಾದ ಉದ್ಯಾನವನ ಪ್ರದೇಶ. ಇದು ಆಸನ ವ್ಯವಸ್ಥೆ ಮತ್ತು ಹಸಿರನ್ನು ಹೊಂದಿದೆ. ಮುಖ್ಯ ಸಂದರ್ಶಕ ಮಾರ್ಗಗಳಿಗೆ ಹತ್ತಿರದಲ್ಲಿದೆ.</v>
      </c>
      <c r="P134" s="10" t="str">
        <f>IFERROR(__xludf.DUMMYFUNCTION("GOOGLETRANSLATE(K134,""en"",""ml"")"),"സന്ദർശക വിശ്രമത്തിനും സഞ്ചാരത്തിനുമായി സമർപ്പിച്ചിരിക്കുന്ന ഒരു പാർക്ക് ഏരിയ. ഇരിപ്പിട ക്രമീകരണങ്ങളും പച്ചപ്പും ഇവിടെയുണ്ട്. പ്രധാന സന്ദർശക റൂട്ടുകൾക്ക് സമീപം സ്ഥിതിചെയ്യുന്നു.")</f>
        <v>സന്ദർശക വിശ്രമത്തിനും സഞ്ചാരത്തിനുമായി സമർപ്പിച്ചിരിക്കുന്ന ഒരു പാർക്ക് ഏരിയ. ഇരിപ്പിട ക്രമീകരണങ്ങളും പച്ചപ്പും ഇവിടെയുണ്ട്. പ്രധാന സന്ദർശക റൂട്ടുകൾക്ക് സമീപം സ്ഥിതിചെയ്യുന്നു.</v>
      </c>
    </row>
    <row r="135">
      <c r="A135" s="6">
        <f t="shared" si="1"/>
        <v>134</v>
      </c>
      <c r="B135" s="6" t="s">
        <v>483</v>
      </c>
      <c r="C135" s="6">
        <v>16.0712833</v>
      </c>
      <c r="D135" s="6">
        <v>78.8732433</v>
      </c>
      <c r="E135" s="5" t="s">
        <v>424</v>
      </c>
      <c r="F135" s="11" t="str">
        <f>IFERROR(__xludf.DUMMYFUNCTION("GOOGLETRANSLATE(B135,""en"",""te"")"),"బాలగణేశ వనం")</f>
        <v>బాలగణేశ వనం</v>
      </c>
      <c r="G135" s="10" t="str">
        <f>IFERROR(__xludf.DUMMYFUNCTION("GOOGLETRANSLATE(B135,""en"",""hi"")"),"बालगणेश वनम")</f>
        <v>बालगणेश वनम</v>
      </c>
      <c r="H135" s="10" t="str">
        <f>IFERROR(__xludf.DUMMYFUNCTION("GOOGLETRANSLATE(B135,""en"",""ta"")"),"பாலகணேச வனம்")</f>
        <v>பாலகணேச வனம்</v>
      </c>
      <c r="I135" s="10" t="str">
        <f>IFERROR(__xludf.DUMMYFUNCTION("GOOGLETRANSLATE(B135,""en"",""kn"")"),"ಬಾಲಗಣೇಶ ವನಂ")</f>
        <v>ಬಾಲಗಣೇಶ ವನಂ</v>
      </c>
      <c r="J135" s="10" t="str">
        <f>IFERROR(__xludf.DUMMYFUNCTION("GOOGLETRANSLATE(B135,""en"",""ml"")"),"ബാലഗണേശ വനം")</f>
        <v>ബാലഗണേശ വനം</v>
      </c>
      <c r="K135" s="12" t="s">
        <v>484</v>
      </c>
      <c r="L135" s="10" t="str">
        <f>IFERROR(__xludf.DUMMYFUNCTION("GOOGLETRANSLATE(K135,""en"",""te"")"),"మొక్కలు నాటడం మరియు సంరక్షణ ప్రయత్నాలలో భాగంగా అభివృద్ధి చేయబడిన గ్రీన్ జోన్. ఇది నీడ ఉన్న నడక మార్గాలను అందిస్తుంది. ప్రవేశం సాధారణంగా ఉచితం.")</f>
        <v>మొక్కలు నాటడం మరియు సంరక్షణ ప్రయత్నాలలో భాగంగా అభివృద్ధి చేయబడిన గ్రీన్ జోన్. ఇది నీడ ఉన్న నడక మార్గాలను అందిస్తుంది. ప్రవేశం సాధారణంగా ఉచితం.</v>
      </c>
      <c r="M135" s="10" t="str">
        <f>IFERROR(__xludf.DUMMYFUNCTION("GOOGLETRANSLATE(K135,""en"",""hi"")"),"वृक्षारोपण और संरक्षण प्रयासों के अंतर्गत विकसित एक हरित क्षेत्र। यहाँ छायादार पैदल मार्ग उपलब्ध हैं। प्रवेश आमतौर पर निःशुल्क है।")</f>
        <v>वृक्षारोपण और संरक्षण प्रयासों के अंतर्गत विकसित एक हरित क्षेत्र। यहाँ छायादार पैदल मार्ग उपलब्ध हैं। प्रवेश आमतौर पर निःशुल्क है।</v>
      </c>
      <c r="N135" s="10" t="str">
        <f>IFERROR(__xludf.DUMMYFUNCTION("GOOGLETRANSLATE(K135,""en"",""ta"")"),"தோட்டக்கலை மற்றும் பாதுகாப்பு முயற்சிகளின் ஒரு பகுதியாக உருவாக்கப்பட்ட ஒரு பசுமை மண்டலம். இது நிழலான நடைபாதைகளை வழங்குகிறது. நுழைவு பொதுவாக இலவசம்.")</f>
        <v>தோட்டக்கலை மற்றும் பாதுகாப்பு முயற்சிகளின் ஒரு பகுதியாக உருவாக்கப்பட்ட ஒரு பசுமை மண்டலம். இது நிழலான நடைபாதைகளை வழங்குகிறது. நுழைவு பொதுவாக இலவசம்.</v>
      </c>
      <c r="O135" s="10" t="str">
        <f>IFERROR(__xludf.DUMMYFUNCTION("GOOGLETRANSLATE(K135,""en"",""kn"")"),"ನೆಡುತೋಪು ಮತ್ತು ಸಂರಕ್ಷಣಾ ಪ್ರಯತ್ನಗಳ ಭಾಗವಾಗಿ ಅಭಿವೃದ್ಧಿಪಡಿಸಲಾದ ಹಸಿರು ವಲಯ. ಇದು ನೆರಳಿನ ನಡಿಗೆ ಮಾರ್ಗಗಳನ್ನು ನೀಡುತ್ತದೆ. ಪ್ರವೇಶ ಸಾಮಾನ್ಯವಾಗಿ ಉಚಿತ.")</f>
        <v>ನೆಡುತೋಪು ಮತ್ತು ಸಂರಕ್ಷಣಾ ಪ್ರಯತ್ನಗಳ ಭಾಗವಾಗಿ ಅಭಿವೃದ್ಧಿಪಡಿಸಲಾದ ಹಸಿರು ವಲಯ. ಇದು ನೆರಳಿನ ನಡಿಗೆ ಮಾರ್ಗಗಳನ್ನು ನೀಡುತ್ತದೆ. ಪ್ರವೇಶ ಸಾಮಾನ್ಯವಾಗಿ ಉಚಿತ.</v>
      </c>
      <c r="P135" s="10" t="str">
        <f>IFERROR(__xludf.DUMMYFUNCTION("GOOGLETRANSLATE(K135,""en"",""ml"")"),"നടീൽ, സംരക്ഷണ പ്രവർത്തനങ്ങളുടെ ഭാഗമായി വികസിപ്പിച്ച ഒരു ഹരിത മേഖല. തണലുള്ള നടപ്പാതകൾ ഇവിടെയുണ്ട്. പ്രവേശനം സാധാരണയായി സൗജന്യമാണ്.")</f>
        <v>നടീൽ, സംരക്ഷണ പ്രവർത്തനങ്ങളുടെ ഭാഗമായി വികസിപ്പിച്ച ഒരു ഹരിത മേഖല. തണലുള്ള നടപ്പാതകൾ ഇവിടെയുണ്ട്. പ്രവേശനം സാധാരണയായി സൗജന്യമാണ്.</v>
      </c>
    </row>
    <row r="136">
      <c r="A136" s="6">
        <f t="shared" si="1"/>
        <v>135</v>
      </c>
      <c r="B136" s="6" t="s">
        <v>485</v>
      </c>
      <c r="C136" s="6">
        <v>16.070364</v>
      </c>
      <c r="D136" s="6">
        <v>78.8709968</v>
      </c>
      <c r="E136" s="5" t="s">
        <v>424</v>
      </c>
      <c r="F136" s="11" t="str">
        <f>IFERROR(__xludf.DUMMYFUNCTION("GOOGLETRANSLATE(B136,""en"",""te"")"),"బసవ వనం")</f>
        <v>బసవ వనం</v>
      </c>
      <c r="G136" s="10" t="str">
        <f>IFERROR(__xludf.DUMMYFUNCTION("GOOGLETRANSLATE(B136,""en"",""hi"")"),"बसवा वनम")</f>
        <v>बसवा वनम</v>
      </c>
      <c r="H136" s="10" t="str">
        <f>IFERROR(__xludf.DUMMYFUNCTION("GOOGLETRANSLATE(B136,""en"",""ta"")"),"பசவ வனம்")</f>
        <v>பசவ வனம்</v>
      </c>
      <c r="I136" s="10" t="str">
        <f>IFERROR(__xludf.DUMMYFUNCTION("GOOGLETRANSLATE(B136,""en"",""kn"")"),"ಬಸವ ವನಂ")</f>
        <v>ಬಸವ ವನಂ</v>
      </c>
      <c r="J136" s="10" t="str">
        <f>IFERROR(__xludf.DUMMYFUNCTION("GOOGLETRANSLATE(B136,""en"",""ml"")"),"ബസവ വനം")</f>
        <v>ബസവ വനം</v>
      </c>
      <c r="K136" s="12" t="s">
        <v>486</v>
      </c>
      <c r="L136" s="10" t="str">
        <f>IFERROR(__xludf.DUMMYFUNCTION("GOOGLETRANSLATE(K136,""en"",""te"")"),"నడక దారులను నిర్వహించే తోటల ప్రాంతం. ఇది పర్యావరణ అనుకూల పర్యాటకానికి మద్దతు ఇస్తుంది. ప్రశాంతమైన, చిన్న సందర్శనలకు అనుకూలం.")</f>
        <v>నడక దారులను నిర్వహించే తోటల ప్రాంతం. ఇది పర్యావరణ అనుకూల పర్యాటకానికి మద్దతు ఇస్తుంది. ప్రశాంతమైన, చిన్న సందర్శనలకు అనుకూలం.</v>
      </c>
      <c r="M136" s="10" t="str">
        <f>IFERROR(__xludf.DUMMYFUNCTION("GOOGLETRANSLATE(K136,""en"",""hi"")"),"सुव्यवस्थित पैदल पथों वाला एक वृक्षारोपण क्षेत्र। यह पर्यावरण के अनुकूल पर्यटन को बढ़ावा देता है। शांत और संक्षिप्त यात्राओं के लिए उपयुक्त।")</f>
        <v>सुव्यवस्थित पैदल पथों वाला एक वृक्षारोपण क्षेत्र। यह पर्यावरण के अनुकूल पर्यटन को बढ़ावा देता है। शांत और संक्षिप्त यात्राओं के लिए उपयुक्त।</v>
      </c>
      <c r="N136" s="10" t="str">
        <f>IFERROR(__xludf.DUMMYFUNCTION("GOOGLETRANSLATE(K136,""en"",""ta"")"),"பராமரிக்கப்பட்ட நடைபாதைகளைக் கொண்ட ஒரு தோட்டப் பகுதி. இது சுற்றுச்சூழலுக்கு உகந்த சுற்றுலாவை ஆதரிக்கிறது. அமைதியான, குறுகிய கால வருகைகளுக்கு ஏற்றது.")</f>
        <v>பராமரிக்கப்பட்ட நடைபாதைகளைக் கொண்ட ஒரு தோட்டப் பகுதி. இது சுற்றுச்சூழலுக்கு உகந்த சுற்றுலாவை ஆதரிக்கிறது. அமைதியான, குறுகிய கால வருகைகளுக்கு ஏற்றது.</v>
      </c>
      <c r="O136" s="10" t="str">
        <f>IFERROR(__xludf.DUMMYFUNCTION("GOOGLETRANSLATE(K136,""en"",""kn"")"),"ನಿರ್ವಹಿಸಲ್ಪಟ್ಟ ನಡಿಗೆ ಮಾರ್ಗಗಳನ್ನು ಹೊಂದಿರುವ ತೋಟ ಪ್ರದೇಶ. ಇದು ಪರಿಸರ ಸ್ನೇಹಿ ಪ್ರವಾಸೋದ್ಯಮವನ್ನು ಬೆಂಬಲಿಸುತ್ತದೆ. ಶಾಂತ, ಸಣ್ಣ ಭೇಟಿಗಳಿಗೆ ಸೂಕ್ತವಾಗಿದೆ.")</f>
        <v>ನಿರ್ವಹಿಸಲ್ಪಟ್ಟ ನಡಿಗೆ ಮಾರ್ಗಗಳನ್ನು ಹೊಂದಿರುವ ತೋಟ ಪ್ರದೇಶ. ಇದು ಪರಿಸರ ಸ್ನೇಹಿ ಪ್ರವಾಸೋದ್ಯಮವನ್ನು ಬೆಂಬಲಿಸುತ್ತದೆ. ಶಾಂತ, ಸಣ್ಣ ಭೇಟಿಗಳಿಗೆ ಸೂಕ್ತವಾಗಿದೆ.</v>
      </c>
      <c r="P136" s="10" t="str">
        <f>IFERROR(__xludf.DUMMYFUNCTION("GOOGLETRANSLATE(K136,""en"",""ml"")"),"നടപ്പാതകൾ നന്നായി പരിപാലിക്കുന്ന ഒരു തോട്ടം പ്രദേശം. പരിസ്ഥിതി സൗഹൃദ ടൂറിസത്തെ ഇത് പിന്തുണയ്ക്കുന്നു. ശാന്തവും ഹ്രസ്വവുമായ സന്ദർശനങ്ങൾക്ക് അനുയോജ്യം.")</f>
        <v>നടപ്പാതകൾ നന്നായി പരിപാലിക്കുന്ന ഒരു തോട്ടം പ്രദേശം. പരിസ്ഥിതി സൗഹൃദ ടൂറിസത്തെ ഇത് പിന്തുണയ്ക്കുന്നു. ശാന്തവും ഹ്രസ്വവുമായ സന്ദർശനങ്ങൾക്ക് അനുയോജ്യം.</v>
      </c>
    </row>
    <row r="137">
      <c r="A137" s="6">
        <f t="shared" si="1"/>
        <v>136</v>
      </c>
      <c r="B137" s="6" t="s">
        <v>487</v>
      </c>
      <c r="C137" s="6">
        <v>16.0699242</v>
      </c>
      <c r="D137" s="6">
        <v>78.8701683</v>
      </c>
      <c r="E137" s="5" t="s">
        <v>424</v>
      </c>
      <c r="F137" s="11" t="str">
        <f>IFERROR(__xludf.DUMMYFUNCTION("GOOGLETRANSLATE(B137,""en"",""te"")"),"భ్రమరాంబ తోటలు")</f>
        <v>భ్రమరాంబ తోటలు</v>
      </c>
      <c r="G137" s="10" t="str">
        <f>IFERROR(__xludf.DUMMYFUNCTION("GOOGLETRANSLATE(B137,""en"",""hi"")"),"भ्रमरम्बा गार्डन")</f>
        <v>भ्रमरम्बा गार्डन</v>
      </c>
      <c r="H137" s="10" t="str">
        <f>IFERROR(__xludf.DUMMYFUNCTION("GOOGLETRANSLATE(B137,""en"",""ta"")"),"பிரம்மராம்பா தோட்டங்கள்")</f>
        <v>பிரம்மராம்பா தோட்டங்கள்</v>
      </c>
      <c r="I137" s="10" t="str">
        <f>IFERROR(__xludf.DUMMYFUNCTION("GOOGLETRANSLATE(B137,""en"",""kn"")"),"ಭ್ರಮರಾಂಬ ಉದ್ಯಾನಗಳು")</f>
        <v>ಭ್ರಮರಾಂಬ ಉದ್ಯಾನಗಳು</v>
      </c>
      <c r="J137" s="10" t="str">
        <f>IFERROR(__xludf.DUMMYFUNCTION("GOOGLETRANSLATE(B137,""en"",""ml"")"),"ഭ്രമരംബ ഉദ്യാനങ്ങൾ")</f>
        <v>ഭ്രമരംബ ഉദ്യാനങ്ങൾ</v>
      </c>
      <c r="K137" s="12" t="s">
        <v>488</v>
      </c>
      <c r="L137" s="10" t="str">
        <f>IFERROR(__xludf.DUMMYFUNCTION("GOOGLETRANSLATE(K137,""en"",""te"")"),"ఆలయ పరిసరాలకు సమీపంలో ఒక తోట ప్రాంతం. దీనిని విశ్రాంతి మరియు వేచి ఉండే సమయం కోసం ఉపయోగిస్తారు. సీటింగ్ మరియు దారులు అందుబాటులో ఉన్నాయి.")</f>
        <v>ఆలయ పరిసరాలకు సమీపంలో ఒక తోట ప్రాంతం. దీనిని విశ్రాంతి మరియు వేచి ఉండే సమయం కోసం ఉపయోగిస్తారు. సీటింగ్ మరియు దారులు అందుబాటులో ఉన్నాయి.</v>
      </c>
      <c r="M137" s="10" t="str">
        <f>IFERROR(__xludf.DUMMYFUNCTION("GOOGLETRANSLATE(K137,""en"",""hi"")"),"मंदिर परिसर के पास एक बगीचा क्षेत्र है। इसका उपयोग विश्राम और प्रतीक्षा के समय के लिए किया जाता है। बैठने की व्यवस्था और रास्ते उपलब्ध हैं।")</f>
        <v>मंदिर परिसर के पास एक बगीचा क्षेत्र है। इसका उपयोग विश्राम और प्रतीक्षा के समय के लिए किया जाता है। बैठने की व्यवस्था और रास्ते उपलब्ध हैं।</v>
      </c>
      <c r="N137" s="10" t="str">
        <f>IFERROR(__xludf.DUMMYFUNCTION("GOOGLETRANSLATE(K137,""en"",""ta"")"),"கோயில் சுற்றுப்புறத்திற்கு அருகில் ஒரு தோட்டப் பகுதி. இது ஓய்வெடுக்கவும் காத்திருக்கவும் பயன்படுகிறது. இருக்கைகள் மற்றும் பாதைகள் உள்ளன.")</f>
        <v>கோயில் சுற்றுப்புறத்திற்கு அருகில் ஒரு தோட்டப் பகுதி. இது ஓய்வெடுக்கவும் காத்திருக்கவும் பயன்படுகிறது. இருக்கைகள் மற்றும் பாதைகள் உள்ளன.</v>
      </c>
      <c r="O137" s="10" t="str">
        <f>IFERROR(__xludf.DUMMYFUNCTION("GOOGLETRANSLATE(K137,""en"",""kn"")"),"ದೇವಾಲಯದ ಸುತ್ತಮುತ್ತಲಿನ ಉದ್ಯಾನ ಪ್ರದೇಶ. ಇದನ್ನು ವಿಶ್ರಾಂತಿ ಮತ್ತು ಕಾಯುವ ಸಮಯಕ್ಕಾಗಿ ಬಳಸಲಾಗುತ್ತದೆ. ಆಸನಗಳು ಮತ್ತು ಹಾದಿಗಳು ಲಭ್ಯವಿದೆ.")</f>
        <v>ದೇವಾಲಯದ ಸುತ್ತಮುತ್ತಲಿನ ಉದ್ಯಾನ ಪ್ರದೇಶ. ಇದನ್ನು ವಿಶ್ರಾಂತಿ ಮತ್ತು ಕಾಯುವ ಸಮಯಕ್ಕಾಗಿ ಬಳಸಲಾಗುತ್ತದೆ. ಆಸನಗಳು ಮತ್ತು ಹಾದಿಗಳು ಲಭ್ಯವಿದೆ.</v>
      </c>
      <c r="P137" s="10" t="str">
        <f>IFERROR(__xludf.DUMMYFUNCTION("GOOGLETRANSLATE(K137,""en"",""ml"")"),"ക്ഷേത്രപരിസരത്തിനടുത്തുള്ള ഒരു പൂന്തോട്ട പ്രദേശം. വിശ്രമത്തിനും കാത്തിരിപ്പിനും ഇത് ഉപയോഗിക്കുന്നു. ഇരിപ്പിടങ്ങളും നടപ്പാതകളും ലഭ്യമാണ്.")</f>
        <v>ക്ഷേത്രപരിസരത്തിനടുത്തുള്ള ഒരു പൂന്തോട്ട പ്രദേശം. വിശ്രമത്തിനും കാത്തിരിപ്പിനും ഇത് ഉപയോഗിക്കുന്നു. ഇരിപ്പിടങ്ങളും നടപ്പാതകളും ലഭ്യമാണ്.</v>
      </c>
    </row>
    <row r="138">
      <c r="A138" s="6">
        <f t="shared" si="1"/>
        <v>137</v>
      </c>
      <c r="B138" s="6" t="s">
        <v>489</v>
      </c>
      <c r="C138" s="6">
        <v>16.07427</v>
      </c>
      <c r="D138" s="6">
        <v>78.8697134</v>
      </c>
      <c r="E138" s="5" t="s">
        <v>424</v>
      </c>
      <c r="F138" s="11" t="str">
        <f>IFERROR(__xludf.DUMMYFUNCTION("GOOGLETRANSLATE(B138,""en"",""te"")"),"శ్రీ పర్వత వనం")</f>
        <v>శ్రీ పర్వత వనం</v>
      </c>
      <c r="G138" s="10" t="str">
        <f>IFERROR(__xludf.DUMMYFUNCTION("GOOGLETRANSLATE(B138,""en"",""hi"")"),"श्री पर्वत वनम")</f>
        <v>श्री पर्वत वनम</v>
      </c>
      <c r="H138" s="10" t="str">
        <f>IFERROR(__xludf.DUMMYFUNCTION("GOOGLETRANSLATE(B138,""en"",""ta"")"),"ஸ்ரீ பர்வத வனம்")</f>
        <v>ஸ்ரீ பர்வத வனம்</v>
      </c>
      <c r="I138" s="10" t="str">
        <f>IFERROR(__xludf.DUMMYFUNCTION("GOOGLETRANSLATE(B138,""en"",""kn"")"),"ಶ್ರೀ ಪರ್ವತ ವನಂ")</f>
        <v>ಶ್ರೀ ಪರ್ವತ ವನಂ</v>
      </c>
      <c r="J138" s="10" t="str">
        <f>IFERROR(__xludf.DUMMYFUNCTION("GOOGLETRANSLATE(B138,""en"",""ml"")"),"ശ്രീ പർവത വനം")</f>
        <v>ശ്രീ പർവത വനം</v>
      </c>
      <c r="K138" s="12" t="s">
        <v>490</v>
      </c>
      <c r="L138" s="10" t="str">
        <f>IFERROR(__xludf.DUMMYFUNCTION("GOOGLETRANSLATE(K138,""en"",""te"")"),"పరిరక్షణ మరియు సందర్శకుల ప్రవేశం కోసం అభివృద్ధి చేయబడిన అటవీ ఉద్యానవనం. ఇది ప్రశాంత వాతావరణాన్ని అందిస్తుంది. నడక ప్రధాన కార్యకలాపం.")</f>
        <v>పరిరక్షణ మరియు సందర్శకుల ప్రవేశం కోసం అభివృద్ధి చేయబడిన అటవీ ఉద్యానవనం. ఇది ప్రశాంత వాతావరణాన్ని అందిస్తుంది. నడక ప్రధాన కార్యకలాపం.</v>
      </c>
      <c r="M138" s="10" t="str">
        <f>IFERROR(__xludf.DUMMYFUNCTION("GOOGLETRANSLATE(K138,""en"",""hi"")"),"संरक्षण और पर्यटकों की सुविधा के लिए विकसित किया गया एक वन क्षेत्र। यह एक शांत वातावरण प्रदान करता है। यहाँ की मुख्य गतिविधि पैदल चलना है।")</f>
        <v>संरक्षण और पर्यटकों की सुविधा के लिए विकसित किया गया एक वन क्षेत्र। यह एक शांत वातावरण प्रदान करता है। यहाँ की मुख्य गतिविधि पैदल चलना है।</v>
      </c>
      <c r="N138" s="10" t="str">
        <f>IFERROR(__xludf.DUMMYFUNCTION("GOOGLETRANSLATE(K138,""en"",""ta"")"),"பாதுகாப்பு மற்றும் பார்வையாளர் அணுகலுக்காக உருவாக்கப்பட்ட காடுகள் நிறைந்த தோட்ட மண்டலம். இது அமைதியான சூழலை வழங்குகிறது. நடைபயிற்சி முக்கிய செயலாகும்.")</f>
        <v>பாதுகாப்பு மற்றும் பார்வையாளர் அணுகலுக்காக உருவாக்கப்பட்ட காடுகள் நிறைந்த தோட்ட மண்டலம். இது அமைதியான சூழலை வழங்குகிறது. நடைபயிற்சி முக்கிய செயலாகும்.</v>
      </c>
      <c r="O138" s="10" t="str">
        <f>IFERROR(__xludf.DUMMYFUNCTION("GOOGLETRANSLATE(K138,""en"",""kn"")"),"ಸಂರಕ್ಷಣೆ ಮತ್ತು ಸಂದರ್ಶಕರ ಪ್ರವೇಶಕ್ಕಾಗಿ ಅಭಿವೃದ್ಧಿಪಡಿಸಲಾದ ಅರಣ್ಯ ಉದ್ಯಾನ ವಲಯ. ಇದು ಶಾಂತ ವಾತಾವರಣವನ್ನು ಒದಗಿಸುತ್ತದೆ. ನಡೆಯುವುದು ಮುಖ್ಯ ಚಟುವಟಿಕೆಯಾಗಿದೆ.")</f>
        <v>ಸಂರಕ್ಷಣೆ ಮತ್ತು ಸಂದರ್ಶಕರ ಪ್ರವೇಶಕ್ಕಾಗಿ ಅಭಿವೃದ್ಧಿಪಡಿಸಲಾದ ಅರಣ್ಯ ಉದ್ಯಾನ ವಲಯ. ಇದು ಶಾಂತ ವಾತಾವರಣವನ್ನು ಒದಗಿಸುತ್ತದೆ. ನಡೆಯುವುದು ಮುಖ್ಯ ಚಟುವಟಿಕೆಯಾಗಿದೆ.</v>
      </c>
      <c r="P138" s="10" t="str">
        <f>IFERROR(__xludf.DUMMYFUNCTION("GOOGLETRANSLATE(K138,""en"",""ml"")"),"സംരക്ഷണത്തിനും സന്ദർശകർക്ക് പ്രവേശനത്തിനുമായി വികസിപ്പിച്ച വനനിബിഡമായ ഒരു ഉദ്യാന മേഖല. ഇത് ശാന്തമായ ഒരു അന്തരീക്ഷം പ്രദാനം ചെയ്യുന്നു. നടത്തമാണ് പ്രധാന പ്രവർത്തനം.")</f>
        <v>സംരക്ഷണത്തിനും സന്ദർശകർക്ക് പ്രവേശനത്തിനുമായി വികസിപ്പിച്ച വനനിബിഡമായ ഒരു ഉദ്യാന മേഖല. ഇത് ശാന്തമായ ഒരു അന്തരീക്ഷം പ്രദാനം ചെയ്യുന്നു. നടത്തമാണ് പ്രധാന പ്രവർത്തനം.</v>
      </c>
    </row>
    <row r="139">
      <c r="A139" s="6">
        <f t="shared" si="1"/>
        <v>138</v>
      </c>
      <c r="B139" s="6" t="s">
        <v>491</v>
      </c>
      <c r="C139" s="6">
        <v>16.0700962</v>
      </c>
      <c r="D139" s="6">
        <v>78.8711881</v>
      </c>
      <c r="E139" s="5" t="s">
        <v>424</v>
      </c>
      <c r="F139" s="11" t="str">
        <f>IFERROR(__xludf.DUMMYFUNCTION("GOOGLETRANSLATE(B139,""en"",""te"")"),"శ్రీశైలం రాక్ గార్డెన్")</f>
        <v>శ్రీశైలం రాక్ గార్డెన్</v>
      </c>
      <c r="G139" s="10" t="str">
        <f>IFERROR(__xludf.DUMMYFUNCTION("GOOGLETRANSLATE(B139,""en"",""hi"")"),"श्रीशैलम रॉक गार्डन")</f>
        <v>श्रीशैलम रॉक गार्डन</v>
      </c>
      <c r="H139" s="10" t="str">
        <f>IFERROR(__xludf.DUMMYFUNCTION("GOOGLETRANSLATE(B139,""en"",""ta"")"),"ஸ்ரீசைலம் பாறைத் தோட்டம்")</f>
        <v>ஸ்ரீசைலம் பாறைத் தோட்டம்</v>
      </c>
      <c r="I139" s="10" t="str">
        <f>IFERROR(__xludf.DUMMYFUNCTION("GOOGLETRANSLATE(B139,""en"",""kn"")"),"ಶ್ರೀಶೈಲಂ ರಾಕ್ ಗಾರ್ಡನ್")</f>
        <v>ಶ್ರೀಶೈಲಂ ರಾಕ್ ಗಾರ್ಡನ್</v>
      </c>
      <c r="J139" s="10" t="str">
        <f>IFERROR(__xludf.DUMMYFUNCTION("GOOGLETRANSLATE(B139,""en"",""ml"")"),"ശ്രീശൈലം റോക്ക് ഗാർഡൻ")</f>
        <v>ശ്രീശൈലം റോക്ക് ഗാർഡൻ</v>
      </c>
      <c r="K139" s="12" t="s">
        <v>492</v>
      </c>
      <c r="L139" s="10" t="str">
        <f>IFERROR(__xludf.DUMMYFUNCTION("GOOGLETRANSLATE(K139,""en"",""te"")"),"సహజ శిల నిర్మాణాలను కలిగి ఉన్న ప్రకృతి దృశ్య ప్రాంతం. ఇది ఫోటో స్పాట్‌లు మరియు నడక మార్గాలను అందిస్తుంది. ఉపరితలాలు అసమానంగా ఉండవచ్చు.")</f>
        <v>సహజ శిల నిర్మాణాలను కలిగి ఉన్న ప్రకృతి దృశ్య ప్రాంతం. ఇది ఫోటో స్పాట్‌లు మరియు నడక మార్గాలను అందిస్తుంది. ఉపరితలాలు అసమానంగా ఉండవచ్చు.</v>
      </c>
      <c r="M139" s="10" t="str">
        <f>IFERROR(__xludf.DUMMYFUNCTION("GOOGLETRANSLATE(K139,""en"",""hi"")"),"यह एक सुव्यवस्थित क्षेत्र है जिसमें प्राकृतिक चट्टानी संरचनाएं हैं। यहां फोटो खींचने के लिए उपयुक्त स्थान और पैदल चलने के रास्ते हैं। सतहें असमान हो सकती हैं।")</f>
        <v>यह एक सुव्यवस्थित क्षेत्र है जिसमें प्राकृतिक चट्टानी संरचनाएं हैं। यहां फोटो खींचने के लिए उपयुक्त स्थान और पैदल चलने के रास्ते हैं। सतहें असमान हो सकती हैं।</v>
      </c>
      <c r="N139" s="10" t="str">
        <f>IFERROR(__xludf.DUMMYFUNCTION("GOOGLETRANSLATE(K139,""en"",""ta"")"),"இயற்கையான பாறை அமைப்புகளைக் கொண்ட நிலப்பரப்பு பகுதி. இது புகைப்படம் எடுப்பதற்கான இடங்களையும் நடைபாதைகளையும் வழங்குகிறது. மேற்பரப்புகள் சீரற்றதாக இருக்கலாம்.")</f>
        <v>இயற்கையான பாறை அமைப்புகளைக் கொண்ட நிலப்பரப்பு பகுதி. இது புகைப்படம் எடுப்பதற்கான இடங்களையும் நடைபாதைகளையும் வழங்குகிறது. மேற்பரப்புகள் சீரற்றதாக இருக்கலாம்.</v>
      </c>
      <c r="O139" s="10" t="str">
        <f>IFERROR(__xludf.DUMMYFUNCTION("GOOGLETRANSLATE(K139,""en"",""kn"")"),"ನೈಸರ್ಗಿಕ ಶಿಲಾ ರಚನೆಗಳನ್ನು ಹೊಂದಿರುವ ಭೂದೃಶ್ಯ ಪ್ರದೇಶ. ಇದು ಫೋಟೋ ತಾಣಗಳು ಮತ್ತು ನಡಿಗೆ ಮಾರ್ಗಗಳನ್ನು ನೀಡುತ್ತದೆ. ಮೇಲ್ಮೈಗಳು ಅಸಮವಾಗಿರಬಹುದು.")</f>
        <v>ನೈಸರ್ಗಿಕ ಶಿಲಾ ರಚನೆಗಳನ್ನು ಹೊಂದಿರುವ ಭೂದೃಶ್ಯ ಪ್ರದೇಶ. ಇದು ಫೋಟೋ ತಾಣಗಳು ಮತ್ತು ನಡಿಗೆ ಮಾರ್ಗಗಳನ್ನು ನೀಡುತ್ತದೆ. ಮೇಲ್ಮೈಗಳು ಅಸಮವಾಗಿರಬಹುದು.</v>
      </c>
      <c r="P139" s="10" t="str">
        <f>IFERROR(__xludf.DUMMYFUNCTION("GOOGLETRANSLATE(K139,""en"",""ml"")"),"പ്രകൃതിദത്തമായ പാറക്കൂട്ടങ്ങൾ നിറഞ്ഞ ഒരു ലാൻഡ്‌സ്‌കേപ്പ് പ്രദേശം. ഫോട്ടോ സ്‌പോട്ടുകളും നടപ്പാതകളും ഇവിടെയുണ്ട്. പ്രതലങ്ങൾ അസമമായിരിക്കാം.")</f>
        <v>പ്രകൃതിദത്തമായ പാറക്കൂട്ടങ്ങൾ നിറഞ്ഞ ഒരു ലാൻഡ്‌സ്‌കേപ്പ് പ്രദേശം. ഫോട്ടോ സ്‌പോട്ടുകളും നടപ്പാതകളും ഇവിടെയുണ്ട്. പ്രതലങ്ങൾ അസമമായിരിക്കാം.</v>
      </c>
    </row>
    <row r="140">
      <c r="A140" s="6">
        <f t="shared" si="1"/>
        <v>139</v>
      </c>
      <c r="B140" s="6" t="s">
        <v>493</v>
      </c>
      <c r="C140" s="6">
        <v>16.0766509</v>
      </c>
      <c r="D140" s="6">
        <v>78.8708912</v>
      </c>
      <c r="E140" s="5" t="s">
        <v>424</v>
      </c>
      <c r="F140" s="11" t="str">
        <f>IFERROR(__xludf.DUMMYFUNCTION("GOOGLETRANSLATE(B140,""en"",""te"")"),"శ్రీశైలం ఉత్తమ జలపాతాలు")</f>
        <v>శ్రీశైలం ఉత్తమ జలపాతాలు</v>
      </c>
      <c r="G140" s="10" t="str">
        <f>IFERROR(__xludf.DUMMYFUNCTION("GOOGLETRANSLATE(B140,""en"",""hi"")"),"श्रीशैलम के सर्वश्रेष्ठ जलप्रपात")</f>
        <v>श्रीशैलम के सर्वश्रेष्ठ जलप्रपात</v>
      </c>
      <c r="H140" s="10" t="str">
        <f>IFERROR(__xludf.DUMMYFUNCTION("GOOGLETRANSLATE(B140,""en"",""ta"")"),"ஸ்ரீசைலம் சிறந்த நீர்வீழ்ச்சிகள்")</f>
        <v>ஸ்ரீசைலம் சிறந்த நீர்வீழ்ச்சிகள்</v>
      </c>
      <c r="I140" s="10" t="str">
        <f>IFERROR(__xludf.DUMMYFUNCTION("GOOGLETRANSLATE(B140,""en"",""kn"")"),"ಶ್ರೀಶೈಲಂನ ಅತ್ಯುತ್ತಮ ಜಲಪಾತಗಳು")</f>
        <v>ಶ್ರೀಶೈಲಂನ ಅತ್ಯುತ್ತಮ ಜಲಪಾತಗಳು</v>
      </c>
      <c r="J140" s="10" t="str">
        <f>IFERROR(__xludf.DUMMYFUNCTION("GOOGLETRANSLATE(B140,""en"",""ml"")"),"ശ്രീശൈലം വെള്ളച്ചാട്ടങ്ങൾ")</f>
        <v>ശ്രീശൈലം വെള്ളച്ചാട്ടങ്ങൾ</v>
      </c>
      <c r="K140" s="12" t="s">
        <v>494</v>
      </c>
      <c r="L140" s="10" t="str">
        <f>IFERROR(__xludf.DUMMYFUNCTION("GOOGLETRANSLATE(K140,""en"",""te"")"),"శ్రీశైలం చుట్టూ ఉన్న కాలానుగుణ జలపాతాలకు సాధారణంగా సూచించబడే ప్రాంతం. నీటి ప్రవాహం వర్షపాతంపై ఆధారపడి ఉంటుంది. పొడి కాలంలో ప్రవేశం పరిమితం కావచ్చు.")</f>
        <v>శ్రీశైలం చుట్టూ ఉన్న కాలానుగుణ జలపాతాలకు సాధారణంగా సూచించబడే ప్రాంతం. నీటి ప్రవాహం వర్షపాతంపై ఆధారపడి ఉంటుంది. పొడి కాలంలో ప్రవేశం పరిమితం కావచ్చు.</v>
      </c>
      <c r="M140" s="10" t="str">
        <f>IFERROR(__xludf.DUMMYFUNCTION("GOOGLETRANSLATE(K140,""en"",""hi"")"),"श्रीशैलम के आसपास मौसमी झरनों के लिए जाना जाने वाला एक प्रसिद्ध क्षेत्र। जल प्रवाह वर्षा पर निर्भर करता है। शुष्क मौसम में आवागमन सीमित हो सकता है।")</f>
        <v>श्रीशैलम के आसपास मौसमी झरनों के लिए जाना जाने वाला एक प्रसिद्ध क्षेत्र। जल प्रवाह वर्षा पर निर्भर करता है। शुष्क मौसम में आवागमन सीमित हो सकता है।</v>
      </c>
      <c r="N140" s="10" t="str">
        <f>IFERROR(__xludf.DUMMYFUNCTION("GOOGLETRANSLATE(K140,""en"",""ta"")"),"ஸ்ரீசைலத்தைச் சுற்றியுள்ள பருவகால நீர்வீழ்ச்சிகளுக்கு பொதுவாகக் குறிப்பிடப்படும் பகுதி. நீர் ஓட்டம் மழையைப் பொறுத்தது. வறண்ட காலங்களில் அணுகல் குறைவாக இருக்கலாம்.")</f>
        <v>ஸ்ரீசைலத்தைச் சுற்றியுள்ள பருவகால நீர்வீழ்ச்சிகளுக்கு பொதுவாகக் குறிப்பிடப்படும் பகுதி. நீர் ஓட்டம் மழையைப் பொறுத்தது. வறண்ட காலங்களில் அணுகல் குறைவாக இருக்கலாம்.</v>
      </c>
      <c r="O140" s="10" t="str">
        <f>IFERROR(__xludf.DUMMYFUNCTION("GOOGLETRANSLATE(K140,""en"",""kn"")"),"ಶ್ರೀಶೈಲದ ಸುತ್ತಮುತ್ತಲಿನ ಕಾಲೋಚಿತ ಜಲಪಾತಗಳಿಗೆ ಸಾಮಾನ್ಯವಾಗಿ ಉಲ್ಲೇಖಿಸಲ್ಪಡುವ ಪ್ರದೇಶ. ನೀರಿನ ಹರಿವು ಮಳೆಯ ಮೇಲೆ ಅವಲಂಬಿತವಾಗಿರುತ್ತದೆ. ಶುಷ್ಕ ಋತುಗಳಲ್ಲಿ ಪ್ರವೇಶ ಸೀಮಿತವಾಗಿರಬಹುದು.")</f>
        <v>ಶ್ರೀಶೈಲದ ಸುತ್ತಮುತ್ತಲಿನ ಕಾಲೋಚಿತ ಜಲಪಾತಗಳಿಗೆ ಸಾಮಾನ್ಯವಾಗಿ ಉಲ್ಲೇಖಿಸಲ್ಪಡುವ ಪ್ರದೇಶ. ನೀರಿನ ಹರಿವು ಮಳೆಯ ಮೇಲೆ ಅವಲಂಬಿತವಾಗಿರುತ್ತದೆ. ಶುಷ್ಕ ಋತುಗಳಲ್ಲಿ ಪ್ರವೇಶ ಸೀಮಿತವಾಗಿರಬಹುದು.</v>
      </c>
      <c r="P140" s="10" t="str">
        <f>IFERROR(__xludf.DUMMYFUNCTION("GOOGLETRANSLATE(K140,""en"",""ml"")"),"ശ്രീശൈലത്തിന് ചുറ്റുമുള്ള സീസണൽ വെള്ളച്ചാട്ടങ്ങൾക്ക് സാധാരണയായി പരാമർശിക്കപ്പെടുന്ന പ്രദേശം. മഴയെ ആശ്രയിച്ചിരിക്കും ജലപ്രവാഹം. വരണ്ട സീസണുകളിൽ പ്രവേശനം പരിമിതമായേക്കാം.")</f>
        <v>ശ്രീശൈലത്തിന് ചുറ്റുമുള്ള സീസണൽ വെള്ളച്ചാട്ടങ്ങൾക്ക് സാധാരണയായി പരാമർശിക്കപ്പെടുന്ന പ്രദേശം. മഴയെ ആശ്രയിച്ചിരിക്കും ജലപ്രവാഹം. വരണ്ട സീസണുകളിൽ പ്രവേശനം പരിമിതമായേക്കാം.</v>
      </c>
    </row>
    <row r="141">
      <c r="A141" s="6">
        <f t="shared" si="1"/>
        <v>140</v>
      </c>
      <c r="B141" s="6" t="s">
        <v>495</v>
      </c>
      <c r="C141" s="6">
        <v>16.0761618</v>
      </c>
      <c r="D141" s="6">
        <v>78.8709613</v>
      </c>
      <c r="E141" s="5" t="s">
        <v>424</v>
      </c>
      <c r="F141" s="11" t="str">
        <f>IFERROR(__xludf.DUMMYFUNCTION("GOOGLETRANSLATE(B141,""en"",""te"")"),"సిద్ది రామప్ప కొలను")</f>
        <v>సిద్ది రామప్ప కొలను</v>
      </c>
      <c r="G141" s="10" t="str">
        <f>IFERROR(__xludf.DUMMYFUNCTION("GOOGLETRANSLATE(B141,""en"",""hi"")"),"सिद्दी रामप्पा कोलानु")</f>
        <v>सिद्दी रामप्पा कोलानु</v>
      </c>
      <c r="H141" s="10" t="str">
        <f>IFERROR(__xludf.DUMMYFUNCTION("GOOGLETRANSLATE(B141,""en"",""ta"")"),"சித்தி ராமப்பா கொலானு")</f>
        <v>சித்தி ராமப்பா கொலானு</v>
      </c>
      <c r="I141" s="10" t="str">
        <f>IFERROR(__xludf.DUMMYFUNCTION("GOOGLETRANSLATE(B141,""en"",""kn"")"),"ಸಿದ್ದಿ ರಾಮಪ್ಪ ಕೊಲನು")</f>
        <v>ಸಿದ್ದಿ ರಾಮಪ್ಪ ಕೊಲನು</v>
      </c>
      <c r="J141" s="10" t="str">
        <f>IFERROR(__xludf.DUMMYFUNCTION("GOOGLETRANSLATE(B141,""en"",""ml"")"),"സിദ്ദി രാമപ്പ കൊളാനു")</f>
        <v>സിദ്ദി രാമപ്പ കൊളാനു</v>
      </c>
      <c r="K141" s="12" t="s">
        <v>496</v>
      </c>
      <c r="L141" s="10" t="str">
        <f>IFERROR(__xludf.DUMMYFUNCTION("GOOGLETRANSLATE(K141,""en"",""te"")"),"శ్రీశైలం సమీపంలోని ఒక సహజ జలాశయం. దీనిని ప్రధానంగా స్థానిక ఆకర్షణగా చూస్తారు. దాని చుట్టూ సౌకర్యాలు చాలా తక్కువ.")</f>
        <v>శ్రీశైలం సమీపంలోని ఒక సహజ జలాశయం. దీనిని ప్రధానంగా స్థానిక ఆకర్షణగా చూస్తారు. దాని చుట్టూ సౌకర్యాలు చాలా తక్కువ.</v>
      </c>
      <c r="M141" s="10" t="str">
        <f>IFERROR(__xludf.DUMMYFUNCTION("GOOGLETRANSLATE(K141,""en"",""hi"")"),"श्रीशैलम के पास स्थित एक प्राकृतिक जल निकाय। इसे मुख्य रूप से स्थानीय आकर्षण के रूप में देखा जाता है। इसके आसपास सुविधाएं बहुत कम हैं।")</f>
        <v>श्रीशैलम के पास स्थित एक प्राकृतिक जल निकाय। इसे मुख्य रूप से स्थानीय आकर्षण के रूप में देखा जाता है। इसके आसपास सुविधाएं बहुत कम हैं।</v>
      </c>
      <c r="N141" s="10" t="str">
        <f>IFERROR(__xludf.DUMMYFUNCTION("GOOGLETRANSLATE(K141,""en"",""ta"")"),"ஸ்ரீசைலம் அருகே உள்ள ஒரு இயற்கை நீர்நிலை. இது முக்கியமாக உள்ளூர் ஈர்ப்பாகக் கருதப்படுகிறது. அதைச் சுற்றியுள்ள வசதிகள் மிகக் குறைவு.")</f>
        <v>ஸ்ரீசைலம் அருகே உள்ள ஒரு இயற்கை நீர்நிலை. இது முக்கியமாக உள்ளூர் ஈர்ப்பாகக் கருதப்படுகிறது. அதைச் சுற்றியுள்ள வசதிகள் மிகக் குறைவு.</v>
      </c>
      <c r="O141" s="10" t="str">
        <f>IFERROR(__xludf.DUMMYFUNCTION("GOOGLETRANSLATE(K141,""en"",""kn"")"),"ಶ್ರೀಶೈಲಂ ಬಳಿಯಿರುವ ನೈಸರ್ಗಿಕ ಜಲಮೂಲ. ಇದನ್ನು ಮುಖ್ಯವಾಗಿ ಸ್ಥಳೀಯ ಆಕರ್ಷಣೆಯಾಗಿ ನೋಡಲಾಗುತ್ತದೆ. ಇದರ ಸುತ್ತಲಿನ ಸೌಲಭ್ಯಗಳು ಕಡಿಮೆ.")</f>
        <v>ಶ್ರೀಶೈಲಂ ಬಳಿಯಿರುವ ನೈಸರ್ಗಿಕ ಜಲಮೂಲ. ಇದನ್ನು ಮುಖ್ಯವಾಗಿ ಸ್ಥಳೀಯ ಆಕರ್ಷಣೆಯಾಗಿ ನೋಡಲಾಗುತ್ತದೆ. ಇದರ ಸುತ್ತಲಿನ ಸೌಲಭ್ಯಗಳು ಕಡಿಮೆ.</v>
      </c>
      <c r="P141" s="10" t="str">
        <f>IFERROR(__xludf.DUMMYFUNCTION("GOOGLETRANSLATE(K141,""en"",""ml"")"),"ശ്രീശൈലത്തിനടുത്തുള്ള ഒരു പ്രകൃതിദത്ത ജലാശയം. ഇത് പ്രധാനമായും ഒരു പ്രാദേശിക ആകർഷണമായിട്ടാണ് കാണപ്പെടുന്നത്. ചുറ്റുമുള്ള സൗകര്യങ്ങൾ കുറവാണ്.")</f>
        <v>ശ്രീശൈലത്തിനടുത്തുള്ള ഒരു പ്രകൃതിദത്ത ജലാശയം. ഇത് പ്രധാനമായും ഒരു പ്രാദേശിക ആകർഷണമായിട്ടാണ് കാണപ്പെടുന്നത്. ചുറ്റുമുള്ള സൗകര്യങ്ങൾ കുറവാണ്.</v>
      </c>
    </row>
    <row r="142">
      <c r="A142" s="6">
        <f t="shared" si="1"/>
        <v>141</v>
      </c>
      <c r="B142" s="6" t="s">
        <v>122</v>
      </c>
      <c r="C142" s="6">
        <v>16.0532486</v>
      </c>
      <c r="D142" s="6">
        <v>78.8910292</v>
      </c>
      <c r="E142" s="5" t="s">
        <v>424</v>
      </c>
      <c r="F142" s="11" t="str">
        <f>IFERROR(__xludf.DUMMYFUNCTION("GOOGLETRANSLATE(B142,""en"",""te"")"),"పలధార–పంచధార")</f>
        <v>పలధార–పంచధార</v>
      </c>
      <c r="G142" s="10" t="str">
        <f>IFERROR(__xludf.DUMMYFUNCTION("GOOGLETRANSLATE(B142,""en"",""hi"")"),"पलाधारा-पंचधारा")</f>
        <v>पलाधारा-पंचधारा</v>
      </c>
      <c r="H142" s="10" t="str">
        <f>IFERROR(__xludf.DUMMYFUNCTION("GOOGLETRANSLATE(B142,""en"",""ta"")"),"பலதார–பஞ்சதார")</f>
        <v>பலதார–பஞ்சதார</v>
      </c>
      <c r="I142" s="10" t="str">
        <f>IFERROR(__xludf.DUMMYFUNCTION("GOOGLETRANSLATE(B142,""en"",""kn"")"),"ಪಲಾಧಾರ–ಪಂಚಧಾರ")</f>
        <v>ಪಲಾಧಾರ–ಪಂಚಧಾರ</v>
      </c>
      <c r="J142" s="10" t="str">
        <f>IFERROR(__xludf.DUMMYFUNCTION("GOOGLETRANSLATE(B142,""en"",""ml"")"),"പാലാധാര–പഞ്ചാധാര")</f>
        <v>പാലാധാര–പഞ്ചാധാര</v>
      </c>
      <c r="K142" s="12" t="s">
        <v>497</v>
      </c>
      <c r="L142" s="10" t="str">
        <f>IFERROR(__xludf.DUMMYFUNCTION("GOOGLETRANSLATE(K142,""en"",""te"")"),"కొండల నుండి నీరు ప్రవహించే సహజ వాగు ప్రాంతం. దీనికి నడక దశలు అవసరం. ప్రవాహం సీజన్ మరియు వర్షపాతం మీద ఆధారపడి ఉంటుంది.")</f>
        <v>కొండల నుండి నీరు ప్రవహించే సహజ వాగు ప్రాంతం. దీనికి నడక దశలు అవసరం. ప్రవాహం సీజన్ మరియు వర్షపాతం మీద ఆధారపడి ఉంటుంది.</v>
      </c>
      <c r="M142" s="10" t="str">
        <f>IFERROR(__xludf.DUMMYFUNCTION("GOOGLETRANSLATE(K142,""en"",""hi"")"),"पहाड़ियों से बहते पानी वाला एक प्राकृतिक जलधारा क्षेत्र। यहाँ तक पहुँचने के लिए सीढ़ियाँ चढ़नी पड़ती हैं। जल प्रवाह मौसम और वर्षा पर निर्भर करता है।")</f>
        <v>पहाड़ियों से बहते पानी वाला एक प्राकृतिक जलधारा क्षेत्र। यहाँ तक पहुँचने के लिए सीढ़ियाँ चढ़नी पड़ती हैं। जल प्रवाह मौसम और वर्षा पर निर्भर करता है।</v>
      </c>
      <c r="N142" s="10" t="str">
        <f>IFERROR(__xludf.DUMMYFUNCTION("GOOGLETRANSLATE(K142,""en"",""ta"")"),"மலைகளிலிருந்து பாயும் நீர் கொண்ட ஒரு இயற்கையான ஓடை பகுதி. அணுகல் என்பது நடந்து செல்லும் படிகளை உள்ளடக்கியது. ஓட்டம் பருவம் மற்றும் மழையைப் பொறுத்தது.")</f>
        <v>மலைகளிலிருந்து பாயும் நீர் கொண்ட ஒரு இயற்கையான ஓடை பகுதி. அணுகல் என்பது நடந்து செல்லும் படிகளை உள்ளடக்கியது. ஓட்டம் பருவம் மற்றும் மழையைப் பொறுத்தது.</v>
      </c>
      <c r="O142" s="10" t="str">
        <f>IFERROR(__xludf.DUMMYFUNCTION("GOOGLETRANSLATE(K142,""en"",""kn"")"),"ಬೆಟ್ಟಗಳಿಂದ ನೀರು ಹರಿಯುವ ನೈಸರ್ಗಿಕ ಹೊಳೆ ಪ್ರದೇಶ. ಪ್ರವೇಶವು ನಡಿಗೆಯ ಹಂತಗಳನ್ನು ಒಳಗೊಂಡಿರುತ್ತದೆ. ಹರಿವು ಋತು ಮತ್ತು ಮಳೆಯ ಮೇಲೆ ಅವಲಂಬಿತವಾಗಿರುತ್ತದೆ.")</f>
        <v>ಬೆಟ್ಟಗಳಿಂದ ನೀರು ಹರಿಯುವ ನೈಸರ್ಗಿಕ ಹೊಳೆ ಪ್ರದೇಶ. ಪ್ರವೇಶವು ನಡಿಗೆಯ ಹಂತಗಳನ್ನು ಒಳಗೊಂಡಿರುತ್ತದೆ. ಹರಿವು ಋತು ಮತ್ತು ಮಳೆಯ ಮೇಲೆ ಅವಲಂಬಿತವಾಗಿರುತ್ತದೆ.</v>
      </c>
      <c r="P142" s="10" t="str">
        <f>IFERROR(__xludf.DUMMYFUNCTION("GOOGLETRANSLATE(K142,""en"",""ml"")"),"കുന്നുകളിൽ നിന്ന് വെള്ളം ഒഴുകുന്ന പ്രകൃതിദത്തമായ ഒരു അരുവി പ്രദേശം. നടക്കാൻ വേണ്ടിയുള്ള പടികൾ ആണ് പ്രവേശനം. ഒഴുക്ക് സീസണിനെയും മഴയെയും ആശ്രയിച്ചിരിക്കുന്നു.")</f>
        <v>കുന്നുകളിൽ നിന്ന് വെള്ളം ഒഴുകുന്ന പ്രകൃതിദത്തമായ ഒരു അരുവി പ്രദേശം. നടക്കാൻ വേണ്ടിയുള്ള പടികൾ ആണ് പ്രവേശനം. ഒഴുക്ക് സീസണിനെയും മഴയെയും ആശ്രയിച്ചിരിക്കുന്നു.</v>
      </c>
    </row>
    <row r="143">
      <c r="A143" s="6">
        <f t="shared" si="1"/>
        <v>142</v>
      </c>
      <c r="B143" s="6" t="s">
        <v>498</v>
      </c>
      <c r="C143" s="6">
        <v>16.0694755</v>
      </c>
      <c r="D143" s="6">
        <v>78.8714984</v>
      </c>
      <c r="E143" s="5" t="s">
        <v>424</v>
      </c>
      <c r="F143" s="11" t="str">
        <f>IFERROR(__xludf.DUMMYFUNCTION("GOOGLETRANSLATE(B143,""en"",""te"")"),"చెంచు లక్ష్మి గిరిజన మ్యూజియం")</f>
        <v>చెంచు లక్ష్మి గిరిజన మ్యూజియం</v>
      </c>
      <c r="G143" s="10" t="str">
        <f>IFERROR(__xludf.DUMMYFUNCTION("GOOGLETRANSLATE(B143,""en"",""hi"")"),"चेनचू लक्ष्मी जनजातीय संग्रहालय")</f>
        <v>चेनचू लक्ष्मी जनजातीय संग्रहालय</v>
      </c>
      <c r="H143" s="10" t="str">
        <f>IFERROR(__xludf.DUMMYFUNCTION("GOOGLETRANSLATE(B143,""en"",""ta"")"),"செஞ்சு லட்சுமி பழங்குடி அருங்காட்சியகம்")</f>
        <v>செஞ்சு லட்சுமி பழங்குடி அருங்காட்சியகம்</v>
      </c>
      <c r="I143" s="10" t="str">
        <f>IFERROR(__xludf.DUMMYFUNCTION("GOOGLETRANSLATE(B143,""en"",""kn"")"),"ಚೆಂಚು ಲಕ್ಷ್ಮಿ ಬುಡಕಟ್ಟು ವಸ್ತು ಸಂಗ್ರಹಾಲಯ")</f>
        <v>ಚೆಂಚು ಲಕ್ಷ್ಮಿ ಬುಡಕಟ್ಟು ವಸ್ತು ಸಂಗ್ರಹಾಲಯ</v>
      </c>
      <c r="J143" s="10" t="str">
        <f>IFERROR(__xludf.DUMMYFUNCTION("GOOGLETRANSLATE(B143,""en"",""ml"")"),"ചെഞ്ചു ലക്ഷ്മി ട്രൈബൽ മ്യൂസിയം")</f>
        <v>ചെഞ്ചു ലക്ഷ്മി ട്രൈബൽ മ്യൂസിയം</v>
      </c>
      <c r="K143" s="12" t="s">
        <v>499</v>
      </c>
      <c r="L143" s="10" t="str">
        <f>IFERROR(__xludf.DUMMYFUNCTION("GOOGLETRANSLATE(K143,""en"",""te"")"),"గిరిజన జీవనశైలి, ఉపకరణాలు మరియు సాంస్కృతిక సమాచారాన్ని ప్రదర్శించే మ్యూజియం. ఇది విద్యాపరమైనది మరియు సమాచారం అందించేది. ప్రవేశ సమయాలు నిర్ణయించబడ్డాయి.")</f>
        <v>గిరిజన జీవనశైలి, ఉపకరణాలు మరియు సాంస్కృతిక సమాచారాన్ని ప్రదర్శించే మ్యూజియం. ఇది విద్యాపరమైనది మరియు సమాచారం అందించేది. ప్రవేశ సమయాలు నిర్ణయించబడ్డాయి.</v>
      </c>
      <c r="M143" s="10" t="str">
        <f>IFERROR(__xludf.DUMMYFUNCTION("GOOGLETRANSLATE(K143,""en"",""hi"")"),"यह संग्रहालय जनजातीय जीवनशैली, औजारों और सांस्कृतिक जानकारी को प्रदर्शित करता है। यह शिक्षाप्रद और ज्ञानवर्धक है। प्रवेश का समय निश्चित है।")</f>
        <v>यह संग्रहालय जनजातीय जीवनशैली, औजारों और सांस्कृतिक जानकारी को प्रदर्शित करता है। यह शिक्षाप्रद और ज्ञानवर्धक है। प्रवेश का समय निश्चित है।</v>
      </c>
      <c r="N143" s="10" t="str">
        <f>IFERROR(__xludf.DUMMYFUNCTION("GOOGLETRANSLATE(K143,""en"",""ta"")"),"பழங்குடியினரின் வாழ்க்கை முறை, கருவிகள் மற்றும் கலாச்சார தகவல்களைக் காட்சிப்படுத்தும் ஒரு அருங்காட்சியகம். இது கல்வி மற்றும் தகவல் தரும். நுழைவு நேரங்கள் நிர்ணயிக்கப்பட்டுள்ளன.")</f>
        <v>பழங்குடியினரின் வாழ்க்கை முறை, கருவிகள் மற்றும் கலாச்சார தகவல்களைக் காட்சிப்படுத்தும் ஒரு அருங்காட்சியகம். இது கல்வி மற்றும் தகவல் தரும். நுழைவு நேரங்கள் நிர்ணயிக்கப்பட்டுள்ளன.</v>
      </c>
      <c r="O143" s="10" t="str">
        <f>IFERROR(__xludf.DUMMYFUNCTION("GOOGLETRANSLATE(K143,""en"",""kn"")"),"ಬುಡಕಟ್ಟು ಜೀವನಶೈಲಿ, ಪರಿಕರಗಳು ಮತ್ತು ಸಾಂಸ್ಕೃತಿಕ ಮಾಹಿತಿಯನ್ನು ಪ್ರದರ್ಶಿಸುವ ವಸ್ತುಸಂಗ್ರಹಾಲಯ. ಇದು ಶೈಕ್ಷಣಿಕ ಮತ್ತು ಮಾಹಿತಿಯುಕ್ತವಾಗಿದೆ. ಪ್ರವೇಶ ಸಮಯವನ್ನು ನಿಗದಿಪಡಿಸಲಾಗಿದೆ.")</f>
        <v>ಬುಡಕಟ್ಟು ಜೀವನಶೈಲಿ, ಪರಿಕರಗಳು ಮತ್ತು ಸಾಂಸ್ಕೃತಿಕ ಮಾಹಿತಿಯನ್ನು ಪ್ರದರ್ಶಿಸುವ ವಸ್ತುಸಂಗ್ರಹಾಲಯ. ಇದು ಶೈಕ್ಷಣಿಕ ಮತ್ತು ಮಾಹಿತಿಯುಕ್ತವಾಗಿದೆ. ಪ್ರವೇಶ ಸಮಯವನ್ನು ನಿಗದಿಪಡಿಸಲಾಗಿದೆ.</v>
      </c>
      <c r="P143" s="10" t="str">
        <f>IFERROR(__xludf.DUMMYFUNCTION("GOOGLETRANSLATE(K143,""en"",""ml"")"),"ഗോത്ര ജീവിതശൈലി, ഉപകരണങ്ങൾ, സാംസ്കാരിക വിവരങ്ങൾ എന്നിവ പ്രദർശിപ്പിക്കുന്ന ഒരു മ്യൂസിയം. ഇത് വിദ്യാഭ്യാസപരവും വിജ്ഞാനപ്രദവുമാണ്. പ്രവേശന സമയം നിശ്ചയിച്ചിട്ടുണ്ട്.")</f>
        <v>ഗോത്ര ജീവിതശൈലി, ഉപകരണങ്ങൾ, സാംസ്കാരിക വിവരങ്ങൾ എന്നിവ പ്രദർശിപ്പിക്കുന്ന ഒരു മ്യൂസിയം. ഇത് വിദ്യാഭ്യാസപരവും വിജ്ഞാനപ്രദവുമാണ്. പ്രവേശന സമയം നിശ്ചയിച്ചിട്ടുണ്ട്.</v>
      </c>
    </row>
    <row r="144">
      <c r="A144" s="6">
        <f t="shared" si="1"/>
        <v>143</v>
      </c>
      <c r="B144" s="6" t="s">
        <v>500</v>
      </c>
      <c r="C144" s="6">
        <v>16.0695293</v>
      </c>
      <c r="D144" s="6">
        <v>78.8704067</v>
      </c>
      <c r="E144" s="5" t="s">
        <v>424</v>
      </c>
      <c r="F144" s="11" t="str">
        <f>IFERROR(__xludf.DUMMYFUNCTION("GOOGLETRANSLATE(B144,""en"",""te"")"),"శివ పార్వతి విగ్రహం")</f>
        <v>శివ పార్వతి విగ్రహం</v>
      </c>
      <c r="G144" s="10" t="str">
        <f>IFERROR(__xludf.DUMMYFUNCTION("GOOGLETRANSLATE(B144,""en"",""hi"")"),"शिव पार्वती प्रतिमा")</f>
        <v>शिव पार्वती प्रतिमा</v>
      </c>
      <c r="H144" s="10" t="str">
        <f>IFERROR(__xludf.DUMMYFUNCTION("GOOGLETRANSLATE(B144,""en"",""ta"")"),"சிவன் பார்வதி சிலை")</f>
        <v>சிவன் பார்வதி சிலை</v>
      </c>
      <c r="I144" s="10" t="str">
        <f>IFERROR(__xludf.DUMMYFUNCTION("GOOGLETRANSLATE(B144,""en"",""kn"")"),"ಶಿವ ಪಾರ್ವತಿ ಪ್ರತಿಮೆ")</f>
        <v>ಶಿವ ಪಾರ್ವತಿ ಪ್ರತಿಮೆ</v>
      </c>
      <c r="J144" s="10" t="str">
        <f>IFERROR(__xludf.DUMMYFUNCTION("GOOGLETRANSLATE(B144,""en"",""ml"")"),"ശിവപാർവ്വതി പ്രതിമ")</f>
        <v>ശിവപാർവ്വതി പ്രതിമ</v>
      </c>
      <c r="K144" s="12" t="s">
        <v>501</v>
      </c>
      <c r="L144" s="10" t="str">
        <f>IFERROR(__xludf.DUMMYFUNCTION("GOOGLETRANSLATE(K144,""en"",""te"")"),"శివుడు మరియు పార్వతిని వర్ణించే పెద్ద విగ్రహం ఏర్పాటు. ఇది సందర్శకులకు ఒక దృశ్యమాన ల్యాండ్‌మార్క్. సాధారణంగా రోడ్డు ద్వారా చేరుకోవచ్చు.")</f>
        <v>శివుడు మరియు పార్వతిని వర్ణించే పెద్ద విగ్రహం ఏర్పాటు. ఇది సందర్శకులకు ఒక దృశ్యమాన ల్యాండ్‌మార్క్. సాధారణంగా రోడ్డు ద్వారా చేరుకోవచ్చు.</v>
      </c>
      <c r="M144" s="10" t="str">
        <f>IFERROR(__xludf.DUMMYFUNCTION("GOOGLETRANSLATE(K144,""en"",""hi"")"),"शिव और पार्वती की एक विशाल प्रतिमा। यह पर्यटकों के लिए एक प्रमुख दर्शनीय स्थल है। आमतौर पर सड़क मार्ग से यहां पहुंचा जा सकता है।")</f>
        <v>शिव और पार्वती की एक विशाल प्रतिमा। यह पर्यटकों के लिए एक प्रमुख दर्शनीय स्थल है। आमतौर पर सड़क मार्ग से यहां पहुंचा जा सकता है।</v>
      </c>
      <c r="N144" s="10" t="str">
        <f>IFERROR(__xludf.DUMMYFUNCTION("GOOGLETRANSLATE(K144,""en"",""ta"")"),"சிவன் மற்றும் பார்வதியை சித்தரிக்கும் ஒரு பெரிய சிலை நிறுவல். இது பார்வையாளர்களுக்கு ஒரு காட்சி அடையாளமாகும். பொதுவாக சாலை வழியாக அணுகலாம்.")</f>
        <v>சிவன் மற்றும் பார்வதியை சித்தரிக்கும் ஒரு பெரிய சிலை நிறுவல். இது பார்வையாளர்களுக்கு ஒரு காட்சி அடையாளமாகும். பொதுவாக சாலை வழியாக அணுகலாம்.</v>
      </c>
      <c r="O144" s="10" t="str">
        <f>IFERROR(__xludf.DUMMYFUNCTION("GOOGLETRANSLATE(K144,""en"",""kn"")"),"ಶಿವ ಮತ್ತು ಪಾರ್ವತಿಯನ್ನು ಚಿತ್ರಿಸುವ ದೊಡ್ಡ ಪ್ರತಿಮೆ ಸ್ಥಾಪನೆ. ಇದು ಸಂದರ್ಶಕರಿಗೆ ದೃಶ್ಯ ಹೆಗ್ಗುರುತಾಗಿದೆ. ಸಾಮಾನ್ಯವಾಗಿ ರಸ್ತೆಯ ಮೂಲಕ ಪ್ರವೇಶಿಸಬಹುದು.")</f>
        <v>ಶಿವ ಮತ್ತು ಪಾರ್ವತಿಯನ್ನು ಚಿತ್ರಿಸುವ ದೊಡ್ಡ ಪ್ರತಿಮೆ ಸ್ಥಾಪನೆ. ಇದು ಸಂದರ್ಶಕರಿಗೆ ದೃಶ್ಯ ಹೆಗ್ಗುರುತಾಗಿದೆ. ಸಾಮಾನ್ಯವಾಗಿ ರಸ್ತೆಯ ಮೂಲಕ ಪ್ರವೇಶಿಸಬಹುದು.</v>
      </c>
      <c r="P144" s="10" t="str">
        <f>IFERROR(__xludf.DUMMYFUNCTION("GOOGLETRANSLATE(K144,""en"",""ml"")"),"ശിവനെയും പാർവതിയെയും ചിത്രീകരിക്കുന്ന ഒരു വലിയ പ്രതിമ പ്രതിഷ്ഠ. സന്ദർശകർക്ക് ഇത് ഒരു ദൃശ്യ ലാൻഡ്‌മാർക്കാണ്. സാധാരണയായി റോഡ് മാർഗം എത്തിച്ചേരാം.")</f>
        <v>ശിവനെയും പാർവതിയെയും ചിത്രീകരിക്കുന്ന ഒരു വലിയ പ്രതിമ പ്രതിഷ്ഠ. സന്ദർശകർക്ക് ഇത് ഒരു ദൃശ്യ ലാൻഡ്‌മാർക്കാണ്. സാധാരണയായി റോഡ് മാർഗം എത്തിച്ചേരാം.</v>
      </c>
    </row>
    <row r="145">
      <c r="A145" s="6">
        <f t="shared" si="1"/>
        <v>144</v>
      </c>
      <c r="B145" s="6" t="s">
        <v>502</v>
      </c>
      <c r="C145" s="6">
        <v>16.0789012</v>
      </c>
      <c r="D145" s="6">
        <v>78.8623872</v>
      </c>
      <c r="E145" s="5" t="s">
        <v>424</v>
      </c>
      <c r="F145" s="11" t="str">
        <f>IFERROR(__xludf.DUMMYFUNCTION("GOOGLETRANSLATE(B145,""en"",""te"")"),"యాంఫిథియేటర్")</f>
        <v>యాంఫిథియేటర్</v>
      </c>
      <c r="G145" s="8" t="s">
        <v>503</v>
      </c>
      <c r="H145" s="8" t="s">
        <v>504</v>
      </c>
      <c r="I145" s="8" t="s">
        <v>505</v>
      </c>
      <c r="J145" s="8" t="s">
        <v>506</v>
      </c>
      <c r="K145" s="12" t="s">
        <v>507</v>
      </c>
      <c r="L145" s="10" t="str">
        <f>IFERROR(__xludf.DUMMYFUNCTION("GOOGLETRANSLATE(K145,""en"",""te"")"),"సాంస్కృతిక కార్యక్రమాలు మరియు సమావేశాల కోసం ఉపయోగించే బహిరంగ సీటింగ్ ప్రాంతం. సీటింగ్ స్థాయిలు ఉంటాయి. కార్యక్రమాలు అప్పుడప్పుడు జరుగుతాయి.")</f>
        <v>సాంస్కృతిక కార్యక్రమాలు మరియు సమావేశాల కోసం ఉపయోగించే బహిరంగ సీటింగ్ ప్రాంతం. సీటింగ్ స్థాయిలు ఉంటాయి. కార్యక్రమాలు అప్పుడప్పుడు జరుగుతాయి.</v>
      </c>
      <c r="M145" s="10" t="str">
        <f>IFERROR(__xludf.DUMMYFUNCTION("GOOGLETRANSLATE(K145,""en"",""hi"")"),"यह एक खुला बैठने का स्थान है जिसका उपयोग सांस्कृतिक कार्यक्रमों और समारोहों के लिए किया जाता है। बैठने की व्यवस्था सीढ़ीदार है। यहाँ कभी-कभार कार्यक्रम आयोजित किए जाते हैं।")</f>
        <v>यह एक खुला बैठने का स्थान है जिसका उपयोग सांस्कृतिक कार्यक्रमों और समारोहों के लिए किया जाता है। बैठने की व्यवस्था सीढ़ीदार है। यहाँ कभी-कभार कार्यक्रम आयोजित किए जाते हैं।</v>
      </c>
      <c r="N145" s="10" t="str">
        <f>IFERROR(__xludf.DUMMYFUNCTION("GOOGLETRANSLATE(K145,""en"",""ta"")"),"கலாச்சார நிகழ்ச்சிகள் மற்றும் கூட்டங்களுக்குப் பயன்படுத்தப்படும் திறந்தவெளி இருக்கைப் பகுதி. இருக்கைகள் பல அடுக்குகளாக உள்ளன. நிகழ்வுகள் அவ்வப்போது நடத்தப்படுகின்றன.")</f>
        <v>கலாச்சார நிகழ்ச்சிகள் மற்றும் கூட்டங்களுக்குப் பயன்படுத்தப்படும் திறந்தவெளி இருக்கைப் பகுதி. இருக்கைகள் பல அடுக்குகளாக உள்ளன. நிகழ்வுகள் அவ்வப்போது நடத்தப்படுகின்றன.</v>
      </c>
      <c r="O145" s="10" t="str">
        <f>IFERROR(__xludf.DUMMYFUNCTION("GOOGLETRANSLATE(K145,""en"",""kn"")"),"ಸಾಂಸ್ಕೃತಿಕ ಕಾರ್ಯಕ್ರಮಗಳು ಮತ್ತು ಕೂಟಗಳಿಗೆ ಬಳಸಲಾಗುವ ತೆರೆದ ಗಾಳಿಯ ಆಸನ ಪ್ರದೇಶ. ಆಸನಗಳನ್ನು ಶ್ರೇಣೀಕರಿಸಲಾಗಿದೆ. ಕಾರ್ಯಕ್ರಮಗಳನ್ನು ಸಾಂದರ್ಭಿಕವಾಗಿ ನಡೆಸಲಾಗುತ್ತದೆ.")</f>
        <v>ಸಾಂಸ್ಕೃತಿಕ ಕಾರ್ಯಕ್ರಮಗಳು ಮತ್ತು ಕೂಟಗಳಿಗೆ ಬಳಸಲಾಗುವ ತೆರೆದ ಗಾಳಿಯ ಆಸನ ಪ್ರದೇಶ. ಆಸನಗಳನ್ನು ಶ್ರೇಣೀಕರಿಸಲಾಗಿದೆ. ಕಾರ್ಯಕ್ರಮಗಳನ್ನು ಸಾಂದರ್ಭಿಕವಾಗಿ ನಡೆಸಲಾಗುತ್ತದೆ.</v>
      </c>
      <c r="P145" s="10" t="str">
        <f>IFERROR(__xludf.DUMMYFUNCTION("GOOGLETRANSLATE(K145,""en"",""ml"")"),"സാംസ്കാരിക പരിപാടികൾക്കും ഒത്തുചേരലുകൾക്കും ഉപയോഗിക്കുന്ന ഒരു തുറന്ന ഇരിപ്പിടം. ഇരിപ്പിടങ്ങൾ പല തരത്തിലാണ്. ഇടയ്ക്കിടെ പരിപാടികൾ നടത്താറുണ്ട്.")</f>
        <v>സാംസ്കാരിക പരിപാടികൾക്കും ഒത്തുചേരലുകൾക്കും ഉപയോഗിക്കുന്ന ഒരു തുറന്ന ഇരിപ്പിടം. ഇരിപ്പിടങ്ങൾ പല തരത്തിലാണ്. ഇടയ്ക്കിടെ പരിപാടികൾ നടത്താറുണ്ട്.</v>
      </c>
    </row>
    <row r="146">
      <c r="A146" s="6">
        <f t="shared" si="1"/>
        <v>145</v>
      </c>
      <c r="B146" s="6" t="s">
        <v>508</v>
      </c>
      <c r="C146" s="6">
        <v>16.0710126</v>
      </c>
      <c r="D146" s="6">
        <v>78.8725566</v>
      </c>
      <c r="E146" s="5" t="s">
        <v>424</v>
      </c>
      <c r="F146" s="11" t="str">
        <f>IFERROR(__xludf.DUMMYFUNCTION("GOOGLETRANSLATE(B146,""en"",""te"")"),"MSK లోకల్ టూర్ సైట్ సీయింగ్")</f>
        <v>MSK లోకల్ టూర్ సైట్ సీయింగ్</v>
      </c>
      <c r="G146" s="10" t="str">
        <f>IFERROR(__xludf.DUMMYFUNCTION("GOOGLETRANSLATE(B146,""en"",""hi"")"),"एमएसके स्थानीय भ्रमण दर्शनीय स्थल")</f>
        <v>एमएसके स्थानीय भ्रमण दर्शनीय स्थल</v>
      </c>
      <c r="H146" s="10" t="str">
        <f>IFERROR(__xludf.DUMMYFUNCTION("GOOGLETRANSLATE(B146,""en"",""ta"")"),"எம்.எஸ்.கே உள்ளூர் சுற்றுலா சுற்றுலா")</f>
        <v>எம்.எஸ்.கே உள்ளூர் சுற்றுலா சுற்றுலா</v>
      </c>
      <c r="I146" s="10" t="str">
        <f>IFERROR(__xludf.DUMMYFUNCTION("GOOGLETRANSLATE(B146,""en"",""kn"")"),"MSK ಸ್ಥಳೀಯ ಪ್ರವಾಸ ದೃಶ್ಯವೀಕ್ಷಣೆ")</f>
        <v>MSK ಸ್ಥಳೀಯ ಪ್ರವಾಸ ದೃಶ್ಯವೀಕ್ಷಣೆ</v>
      </c>
      <c r="J146" s="10" t="str">
        <f>IFERROR(__xludf.DUMMYFUNCTION("GOOGLETRANSLATE(B146,""en"",""ml"")"),"എം.എസ്.കെ ലോക്കൽ ടൂർ കാഴ്ചകൾ കാണൽ")</f>
        <v>എം.എസ്.കെ ലോക്കൽ ടൂർ കാഴ്ചകൾ കാണൽ</v>
      </c>
      <c r="K146" s="12" t="s">
        <v>509</v>
      </c>
      <c r="L146" s="10" t="str">
        <f>IFERROR(__xludf.DUMMYFUNCTION("GOOGLETRANSLATE(K146,""en"",""te"")"),"సమీపంలోని ఆకర్షణలను కవర్ చేసే స్థానిక సందర్శనా సేవ. పర్యటనలు స్థిర మార్గాలు మరియు సమయాలలో నడుస్తాయి. బుకింగ్ అవసరం.")</f>
        <v>సమీపంలోని ఆకర్షణలను కవర్ చేసే స్థానిక సందర్శనా సేవ. పర్యటనలు స్థిర మార్గాలు మరియు సమయాలలో నడుస్తాయి. బుకింగ్ అవసరం.</v>
      </c>
      <c r="M146" s="10" t="str">
        <f>IFERROR(__xludf.DUMMYFUNCTION("GOOGLETRANSLATE(K146,""en"",""hi"")"),"आस-पास के दर्शनीय स्थलों को कवर करने वाली एक स्थानीय पर्यटन सेवा। टूर निर्धारित मार्गों और समय पर संचालित होते हैं। बुकिंग आवश्यक है।")</f>
        <v>आस-पास के दर्शनीय स्थलों को कवर करने वाली एक स्थानीय पर्यटन सेवा। टूर निर्धारित मार्गों और समय पर संचालित होते हैं। बुकिंग आवश्यक है।</v>
      </c>
      <c r="N146" s="10" t="str">
        <f>IFERROR(__xludf.DUMMYFUNCTION("GOOGLETRANSLATE(K146,""en"",""ta"")"),"அருகிலுள்ள சுற்றுலா தலங்களை உள்ளடக்கிய உள்ளூர் சுற்றுலா சேவை. சுற்றுலாக்கள் நிலையான வழிகள் மற்றும் நேரங்களில் இயங்குகின்றன. முன்பதிவு அவசியம்.")</f>
        <v>அருகிலுள்ள சுற்றுலா தலங்களை உள்ளடக்கிய உள்ளூர் சுற்றுலா சேவை. சுற்றுலாக்கள் நிலையான வழிகள் மற்றும் நேரங்களில் இயங்குகின்றன. முன்பதிவு அவசியம்.</v>
      </c>
      <c r="O146" s="10" t="str">
        <f>IFERROR(__xludf.DUMMYFUNCTION("GOOGLETRANSLATE(K146,""en"",""kn"")"),"ಹತ್ತಿರದ ಆಕರ್ಷಣೆಗಳನ್ನು ಒಳಗೊಂಡ ಸ್ಥಳೀಯ ದೃಶ್ಯವೀಕ್ಷಣೆಯ ಸೇವೆ. ಪ್ರವಾಸಗಳು ನಿಗದಿತ ಮಾರ್ಗಗಳು ಮತ್ತು ಸಮಯಗಳಲ್ಲಿ ಕಾರ್ಯನಿರ್ವಹಿಸುತ್ತವೆ. ಬುಕಿಂಗ್ ಅಗತ್ಯವಿದೆ.")</f>
        <v>ಹತ್ತಿರದ ಆಕರ್ಷಣೆಗಳನ್ನು ಒಳಗೊಂಡ ಸ್ಥಳೀಯ ದೃಶ್ಯವೀಕ್ಷಣೆಯ ಸೇವೆ. ಪ್ರವಾಸಗಳು ನಿಗದಿತ ಮಾರ್ಗಗಳು ಮತ್ತು ಸಮಯಗಳಲ್ಲಿ ಕಾರ್ಯನಿರ್ವಹಿಸುತ್ತವೆ. ಬುಕಿಂಗ್ ಅಗತ್ಯವಿದೆ.</v>
      </c>
      <c r="P146" s="10" t="str">
        <f>IFERROR(__xludf.DUMMYFUNCTION("GOOGLETRANSLATE(K146,""en"",""ml"")"),"അടുത്തുള്ള ആകർഷണങ്ങൾ ഉൾക്കൊള്ളുന്ന ഒരു പ്രാദേശിക കാഴ്ചാ സേവനം. നിശ്ചിത റൂട്ടുകളിലും സമയക്രമത്തിലുമാണ് ടൂറുകൾ പ്രവർത്തിക്കുന്നത്. ബുക്കിംഗ് ആവശ്യമാണ്.")</f>
        <v>അടുത്തുള്ള ആകർഷണങ്ങൾ ഉൾക്കൊള്ളുന്ന ഒരു പ്രാദേശിക കാഴ്ചാ സേവനം. നിശ്ചിത റൂട്ടുകളിലും സമയക്രമത്തിലുമാണ് ടൂറുകൾ പ്രവർത്തിക്കുന്നത്. ബുക്കിംഗ് ആവശ്യമാണ്.</v>
      </c>
    </row>
    <row r="147">
      <c r="A147" s="6">
        <f t="shared" si="1"/>
        <v>146</v>
      </c>
      <c r="B147" s="6" t="s">
        <v>510</v>
      </c>
      <c r="C147" s="6">
        <v>16.0723934</v>
      </c>
      <c r="D147" s="6">
        <v>78.8699504</v>
      </c>
      <c r="E147" s="5" t="s">
        <v>424</v>
      </c>
      <c r="F147" s="11" t="str">
        <f>IFERROR(__xludf.DUMMYFUNCTION("GOOGLETRANSLATE(B147,""en"",""te"")"),"క్లోక్ రూమ్ ఫౌంటెన్")</f>
        <v>క్లోక్ రూమ్ ఫౌంటెన్</v>
      </c>
      <c r="G147" s="10" t="str">
        <f>IFERROR(__xludf.DUMMYFUNCTION("GOOGLETRANSLATE(B147,""en"",""hi"")"),"क्लोकरूम फव्वारा")</f>
        <v>क्लोकरूम फव्वारा</v>
      </c>
      <c r="H147" s="10" t="str">
        <f>IFERROR(__xludf.DUMMYFUNCTION("GOOGLETRANSLATE(B147,""en"",""ta"")"),"ஆடை அறை நீரூற்று")</f>
        <v>ஆடை அறை நீரூற்று</v>
      </c>
      <c r="I147" s="10" t="str">
        <f>IFERROR(__xludf.DUMMYFUNCTION("GOOGLETRANSLATE(B147,""en"",""kn"")"),"ಕ್ಲೋಕ್ ರೂಮ್ ಫೌಂಟೇನ್")</f>
        <v>ಕ್ಲೋಕ್ ರೂಮ್ ಫೌಂಟೇನ್</v>
      </c>
      <c r="J147" s="10" t="str">
        <f>IFERROR(__xludf.DUMMYFUNCTION("GOOGLETRANSLATE(B147,""en"",""ml"")"),"ക്ലോക്ക് റൂം ഫൗണ്ടൻ")</f>
        <v>ക്ലോക്ക് റൂം ഫൗണ്ടൻ</v>
      </c>
      <c r="K147" s="12" t="s">
        <v>511</v>
      </c>
      <c r="L147" s="10" t="str">
        <f>IFERROR(__xludf.DUMMYFUNCTION("GOOGLETRANSLATE(K147,""en"",""te"")"),"సమీపంలో ఫౌంటెన్ ల్యాండ్‌మార్క్‌తో క్లోక్ రూమ్ సౌకర్యం. సందర్శకులు ఇక్కడ వస్తువులను సురక్షితంగా నిల్వ చేసుకోవచ్చు. ఆలయ ప్రవేశానికి ముందు ఉపయోగపడుతుంది.")</f>
        <v>సమీపంలో ఫౌంటెన్ ల్యాండ్‌మార్క్‌తో క్లోక్ రూమ్ సౌకర్యం. సందర్శకులు ఇక్కడ వస్తువులను సురక్షితంగా నిల్వ చేసుకోవచ్చు. ఆలయ ప్రవేశానికి ముందు ఉపయోగపడుతుంది.</v>
      </c>
      <c r="M147" s="10" t="str">
        <f>IFERROR(__xludf.DUMMYFUNCTION("GOOGLETRANSLATE(K147,""en"",""hi"")"),"पास ही में एक फव्वारे के साथ एक क्लोकरूम की सुविधा उपलब्ध है। आगंतुक यहां अपना सामान सुरक्षित रूप से रख सकते हैं। मंदिर में प्रवेश करने से पहले यह सुविधा उपयोगी है।")</f>
        <v>पास ही में एक फव्वारे के साथ एक क्लोकरूम की सुविधा उपलब्ध है। आगंतुक यहां अपना सामान सुरक्षित रूप से रख सकते हैं। मंदिर में प्रवेश करने से पहले यह सुविधा उपयोगी है।</v>
      </c>
      <c r="N147" s="10" t="str">
        <f>IFERROR(__xludf.DUMMYFUNCTION("GOOGLETRANSLATE(K147,""en"",""ta"")"),"அருகில் நீரூற்று அடையாளத்துடன் கூடிய ஆடை அறை வசதி. பார்வையாளர்கள் இங்கு பொருட்களை பாதுகாப்பாக சேமித்து வைக்கலாம். கோயில் நுழைவதற்கு முன்பு பயனுள்ளதாக இருக்கும்.")</f>
        <v>அருகில் நீரூற்று அடையாளத்துடன் கூடிய ஆடை அறை வசதி. பார்வையாளர்கள் இங்கு பொருட்களை பாதுகாப்பாக சேமித்து வைக்கலாம். கோயில் நுழைவதற்கு முன்பு பயனுள்ளதாக இருக்கும்.</v>
      </c>
      <c r="O147" s="10" t="str">
        <f>IFERROR(__xludf.DUMMYFUNCTION("GOOGLETRANSLATE(K147,""en"",""kn"")"),"ಹತ್ತಿರದಲ್ಲಿ ಕಾರಂಜಿ ಹೆಗ್ಗುರುತನ್ನು ಹೊಂದಿರುವ ಕ್ಲೋಕ್ ರೂಮ್ ಸೌಲಭ್ಯ. ಸಂದರ್ಶಕರು ಇಲ್ಲಿ ವಸ್ತುಗಳನ್ನು ಸುರಕ್ಷಿತವಾಗಿ ಸಂಗ್ರಹಿಸಬಹುದು. ದೇವಾಲಯ ಪ್ರವೇಶದ ಮೊದಲು ಉಪಯುಕ್ತವಾಗಿದೆ.")</f>
        <v>ಹತ್ತಿರದಲ್ಲಿ ಕಾರಂಜಿ ಹೆಗ್ಗುರುತನ್ನು ಹೊಂದಿರುವ ಕ್ಲೋಕ್ ರೂಮ್ ಸೌಲಭ್ಯ. ಸಂದರ್ಶಕರು ಇಲ್ಲಿ ವಸ್ತುಗಳನ್ನು ಸುರಕ್ಷಿತವಾಗಿ ಸಂಗ್ರಹಿಸಬಹುದು. ದೇವಾಲಯ ಪ್ರವೇಶದ ಮೊದಲು ಉಪಯುಕ್ತವಾಗಿದೆ.</v>
      </c>
      <c r="P147" s="10" t="str">
        <f>IFERROR(__xludf.DUMMYFUNCTION("GOOGLETRANSLATE(K147,""en"",""ml"")"),"സമീപത്ത് ഒരു ഫൗണ്ടൻ ലാൻഡ്‌മാർക്കുള്ള ക്ലോക്ക് റൂം സൗകര്യം. സന്ദർശകർക്ക് ഇവിടെ സാധനങ്ങൾ സുരക്ഷിതമായി സൂക്ഷിക്കാം. ക്ഷേത്ര പ്രവേശനത്തിന് മുമ്പ് ഉപയോഗപ്രദം.")</f>
        <v>സമീപത്ത് ഒരു ഫൗണ്ടൻ ലാൻഡ്‌മാർക്കുള്ള ക്ലോക്ക് റൂം സൗകര്യം. സന്ദർശകർക്ക് ഇവിടെ സാധനങ്ങൾ സുരക്ഷിതമായി സൂക്ഷിക്കാം. ക്ഷേത്ര പ്രവേശനത്തിന് മുമ്പ് ഉപയോഗപ്രദം.</v>
      </c>
    </row>
    <row r="148">
      <c r="A148" s="6">
        <f t="shared" si="1"/>
        <v>147</v>
      </c>
      <c r="B148" s="8" t="s">
        <v>512</v>
      </c>
      <c r="C148" s="23">
        <v>16.04553</v>
      </c>
      <c r="D148" s="8">
        <v>78.91729</v>
      </c>
      <c r="E148" s="8" t="s">
        <v>424</v>
      </c>
      <c r="F148" s="11" t="str">
        <f>IFERROR(__xludf.DUMMYFUNCTION("GOOGLETRANSLATE(B148,""en"",""te"")"),"శిఖర శ్రీశైల పుష్కరిణి")</f>
        <v>శిఖర శ్రీశైల పుష్కరిణి</v>
      </c>
      <c r="G148" s="8" t="s">
        <v>513</v>
      </c>
      <c r="H148" s="8" t="s">
        <v>514</v>
      </c>
      <c r="I148" s="8" t="s">
        <v>515</v>
      </c>
      <c r="J148" s="8" t="s">
        <v>516</v>
      </c>
      <c r="K148" s="12" t="s">
        <v>517</v>
      </c>
      <c r="L148" s="10" t="str">
        <f>IFERROR(__xludf.DUMMYFUNCTION("GOOGLETRANSLATE(K148,""en"",""te"")"),"శిఖర శ్రీశైల పుష్కరిణి అనేది శ్రీశైలంలోని శిఖరం ప్రాంతానికి సమీపంలో ఉన్న ఒక పవిత్ర ఆలయ నీటి తొట్టె. భక్తులు ఈ నీటిని పవిత్రంగా భావిస్తారు మరియు ఆచార స్నానాలు మరియు మతపరమైన ఆచారాలకు ఉపయోగిస్తారు.")</f>
        <v>శిఖర శ్రీశైల పుష్కరిణి అనేది శ్రీశైలంలోని శిఖరం ప్రాంతానికి సమీపంలో ఉన్న ఒక పవిత్ర ఆలయ నీటి తొట్టె. భక్తులు ఈ నీటిని పవిత్రంగా భావిస్తారు మరియు ఆచార స్నానాలు మరియు మతపరమైన ఆచారాలకు ఉపయోగిస్తారు.</v>
      </c>
      <c r="M148" s="10" t="str">
        <f>IFERROR(__xludf.DUMMYFUNCTION("GOOGLETRANSLATE(K148,""en"",""hi"")"),"श्रीशैलम के शिखरम क्षेत्र के पास स्थित शिखरा श्रीशैल पुष्करिणी एक पवित्र मंदिर का जलकुंड है। भक्त इस जल को पवित्र मानते हैं और इसका उपयोग अनुष्ठानिक स्नान और धार्मिक अनुष्ठानों के लिए करते हैं।")</f>
        <v>श्रीशैलम के शिखरम क्षेत्र के पास स्थित शिखरा श्रीशैल पुष्करिणी एक पवित्र मंदिर का जलकुंड है। भक्त इस जल को पवित्र मानते हैं और इसका उपयोग अनुष्ठानिक स्नान और धार्मिक अनुष्ठानों के लिए करते हैं।</v>
      </c>
      <c r="N148" s="10" t="str">
        <f>IFERROR(__xludf.DUMMYFUNCTION("GOOGLETRANSLATE(K148,""en"",""ta"")"),"ஷிகாரா ஸ்ரீசைல புஷ்கரிணி என்பது ஸ்ரீசைலத்தின் ஷிகாரம் பகுதிக்கு அருகில் அமைந்துள்ள ஒரு புனித கோயில் நீர் தொட்டியாகும். பக்தர்கள் இந்த தண்ணீரை புனிதமாகக் கருதி, சடங்கு குளியல் மற்றும் மத நடைமுறைகளுக்குப் பயன்படுத்துகின்றனர்.")</f>
        <v>ஷிகாரா ஸ்ரீசைல புஷ்கரிணி என்பது ஸ்ரீசைலத்தின் ஷிகாரம் பகுதிக்கு அருகில் அமைந்துள்ள ஒரு புனித கோயில் நீர் தொட்டியாகும். பக்தர்கள் இந்த தண்ணீரை புனிதமாகக் கருதி, சடங்கு குளியல் மற்றும் மத நடைமுறைகளுக்குப் பயன்படுத்துகின்றனர்.</v>
      </c>
      <c r="O148" s="10" t="str">
        <f>IFERROR(__xludf.DUMMYFUNCTION("GOOGLETRANSLATE(K148,""en"",""kn"")"),"ಶಿಖರ ಶ್ರೀಶೈಲ ಪುಷ್ಕರಿಣಿಯು ಶ್ರೀಶೈಲದ ಶಿಖರಂ ಪ್ರದೇಶದ ಬಳಿ ಇರುವ ಒಂದು ಪವಿತ್ರ ದೇವಾಲಯದ ನೀರಿನ ತೊಟ್ಟಿಯಾಗಿದೆ. ಭಕ್ತರು ಈ ನೀರನ್ನು ಪವಿತ್ರವೆಂದು ಪರಿಗಣಿಸುತ್ತಾರೆ ಮತ್ತು ಧಾರ್ಮಿಕ ಸ್ನಾನ ಮತ್ತು ಧಾರ್ಮಿಕ ಆಚರಣೆಗಳಿಗೆ ಬಳಸುತ್ತಾರೆ.")</f>
        <v>ಶಿಖರ ಶ್ರೀಶೈಲ ಪುಷ್ಕರಿಣಿಯು ಶ್ರೀಶೈಲದ ಶಿಖರಂ ಪ್ರದೇಶದ ಬಳಿ ಇರುವ ಒಂದು ಪವಿತ್ರ ದೇವಾಲಯದ ನೀರಿನ ತೊಟ್ಟಿಯಾಗಿದೆ. ಭಕ್ತರು ಈ ನೀರನ್ನು ಪವಿತ್ರವೆಂದು ಪರಿಗಣಿಸುತ್ತಾರೆ ಮತ್ತು ಧಾರ್ಮಿಕ ಸ್ನಾನ ಮತ್ತು ಧಾರ್ಮಿಕ ಆಚರಣೆಗಳಿಗೆ ಬಳಸುತ್ತಾರೆ.</v>
      </c>
      <c r="P148" s="10" t="str">
        <f>IFERROR(__xludf.DUMMYFUNCTION("GOOGLETRANSLATE(K148,""en"",""ml"")"),"ശ്രീശൈലത്തിലെ ശിഖരം പ്രദേശത്തിനടുത്തായി സ്ഥിതി ചെയ്യുന്ന ഒരു പുണ്യ ക്ഷേത്ര ജലസംഭരണിയാണ് ശിഖര ശ്രീശൈല പുഷ്‌കരിണി. ഭക്തർ ഈ ജലത്തെ പവിത്രമായി കണക്കാക്കുകയും ആചാരപരമായ കുളിക്കലിനും മതപരമായ ആചാരങ്ങൾക്കും ഉപയോഗിക്കുകയും ചെയ്യുന്നു.")</f>
        <v>ശ്രീശൈലത്തിലെ ശിഖരം പ്രദേശത്തിനടുത്തായി സ്ഥിതി ചെയ്യുന്ന ഒരു പുണ്യ ക്ഷേത്ര ജലസംഭരണിയാണ് ശിഖര ശ്രീശൈല പുഷ്‌കരിണി. ഭക്തർ ഈ ജലത്തെ പവിത്രമായി കണക്കാക്കുകയും ആചാരപരമായ കുളിക്കലിനും മതപരമായ ആചാരങ്ങൾക്കും ഉപയോഗിക്കുകയും ചെയ്യുന്നു.</v>
      </c>
    </row>
    <row r="149" ht="17.25" customHeight="1">
      <c r="A149" s="6">
        <f t="shared" si="1"/>
        <v>148</v>
      </c>
      <c r="B149" s="13" t="s">
        <v>518</v>
      </c>
      <c r="C149" s="14">
        <v>16.07295</v>
      </c>
      <c r="D149" s="15">
        <v>78.86737</v>
      </c>
      <c r="E149" s="24" t="s">
        <v>424</v>
      </c>
      <c r="F149" s="13" t="s">
        <v>519</v>
      </c>
      <c r="G149" s="13" t="s">
        <v>520</v>
      </c>
      <c r="H149" s="13" t="s">
        <v>521</v>
      </c>
      <c r="I149" s="13" t="s">
        <v>522</v>
      </c>
      <c r="J149" s="13" t="s">
        <v>523</v>
      </c>
      <c r="K149" s="16" t="s">
        <v>524</v>
      </c>
      <c r="L149" s="10" t="str">
        <f>IFERROR(__xludf.DUMMYFUNCTION("GOOGLETRANSLATE(K149,""en"",""te"")"),"రుద్రాక్ష వనం శ్రీశైలం ప్రాంతంలో ఉన్న ఒక పవిత్ర అటవీ ప్రాంతం.
ఇది శివునితో దగ్గరి సంబంధం ఉన్న రుద్రాక్ష చెట్లకు ప్రసిద్ధి చెందింది.
ఈ ప్రాంతం యాత్రికులకు ప్రశాంతమైన ఆధ్యాత్మిక వాతావరణాన్ని అందిస్తుంది.")</f>
        <v>రుద్రాక్ష వనం శ్రీశైలం ప్రాంతంలో ఉన్న ఒక పవిత్ర అటవీ ప్రాంతం.
ఇది శివునితో దగ్గరి సంబంధం ఉన్న రుద్రాక్ష చెట్లకు ప్రసిద్ధి చెందింది.
ఈ ప్రాంతం యాత్రికులకు ప్రశాంతమైన ఆధ్యాత్మిక వాతావరణాన్ని అందిస్తుంది.</v>
      </c>
      <c r="M149" s="10" t="str">
        <f>IFERROR(__xludf.DUMMYFUNCTION("GOOGLETRANSLATE(K149,""en"",""hi"")"),"रुद्राक्ष वनम श्रीशैलम क्षेत्र में स्थित एक पवित्र वन क्षेत्र है।
यह रुद्राक्ष के वृक्षों के लिए प्रसिद्ध है, जिनका भगवान शिव से गहरा संबंध है।
यह क्षेत्र तीर्थयात्रियों को एक शांत आध्यात्मिक वातावरण प्रदान करता है।")</f>
        <v>रुद्राक्ष वनम श्रीशैलम क्षेत्र में स्थित एक पवित्र वन क्षेत्र है।
यह रुद्राक्ष के वृक्षों के लिए प्रसिद्ध है, जिनका भगवान शिव से गहरा संबंध है।
यह क्षेत्र तीर्थयात्रियों को एक शांत आध्यात्मिक वातावरण प्रदान करता है।</v>
      </c>
      <c r="N149" s="10" t="str">
        <f>IFERROR(__xludf.DUMMYFUNCTION("GOOGLETRANSLATE(K149,""en"",""ta"")"),"ருத்ராட்ச வனம் என்பது ஸ்ரீசைலம் பகுதியில் அமைந்துள்ள ஒரு புனித வனப்பகுதியாகும்.
சிவபெருமானுடன் நெருங்கிய தொடர்புடைய ருத்ராட்ச மரங்களுக்கு இது பெயர் பெற்றது.
இந்தப் பகுதி யாத்ரீகர்களுக்கு அமைதியான ஆன்மீக சூழலை வழங்குகிறது.")</f>
        <v>ருத்ராட்ச வனம் என்பது ஸ்ரீசைலம் பகுதியில் அமைந்துள்ள ஒரு புனித வனப்பகுதியாகும்.
சிவபெருமானுடன் நெருங்கிய தொடர்புடைய ருத்ராட்ச மரங்களுக்கு இது பெயர் பெற்றது.
இந்தப் பகுதி யாத்ரீகர்களுக்கு அமைதியான ஆன்மீக சூழலை வழங்குகிறது.</v>
      </c>
      <c r="O149" s="8" t="str">
        <f>IFERROR(__xludf.DUMMYFUNCTION("GOOGLETRANSLATE(K149,""en"",""kn"")"),"ರುದ್ರಾಕ್ಷವನವು ಶ್ರೀಶೈಲಂ ಪ್ರದೇಶದಲ್ಲಿರುವ ಒಂದು ಪವಿತ್ರ ಅರಣ್ಯ ಪ್ರದೇಶವಾಗಿದೆ.
ಇದು ಶಿವನೊಂದಿಗೆ ನಿಕಟ ಸಂಬಂಧ ಹೊಂದಿರುವ ರುದ್ರಾಕ್ಷ ಮರಗಳಿಗೆ ಹೆಸರುವಾಸಿಯಾಗಿದೆ.
ಈ ಪ್ರದೇಶವು ಯಾತ್ರಾರ್ಥಿಗಳಿಗೆ ಶಾಂತಿಯುತ ಆಧ್ಯಾತ್ಮಿಕ ವಾತಾವರಣವನ್ನು ನೀಡುತ್ತದೆ.")</f>
        <v>ರುದ್ರಾಕ್ಷವನವು ಶ್ರೀಶೈಲಂ ಪ್ರದೇಶದಲ್ಲಿರುವ ಒಂದು ಪವಿತ್ರ ಅರಣ್ಯ ಪ್ರದೇಶವಾಗಿದೆ.
ಇದು ಶಿವನೊಂದಿಗೆ ನಿಕಟ ಸಂಬಂಧ ಹೊಂದಿರುವ ರುದ್ರಾಕ್ಷ ಮರಗಳಿಗೆ ಹೆಸರುವಾಸಿಯಾಗಿದೆ.
ಈ ಪ್ರದೇಶವು ಯಾತ್ರಾರ್ಥಿಗಳಿಗೆ ಶಾಂತಿಯುತ ಆಧ್ಯಾತ್ಮಿಕ ವಾತಾವರಣವನ್ನು ನೀಡುತ್ತದೆ.</v>
      </c>
      <c r="P149" s="10" t="str">
        <f>IFERROR(__xludf.DUMMYFUNCTION("GOOGLETRANSLATE(K149,""en"",""ml"")"),"ശ്രീശൈലം മേഖലയിൽ സ്ഥിതി ചെയ്യുന്ന ഒരു പുണ്യ വനപ്രദേശമാണ് രുദ്രാക്ഷവനം.
ശിവനുമായി അടുത്ത ബന്ധമുള്ള രുദ്രാക്ഷവൃക്ഷങ്ങൾക്ക് പേരുകേട്ടതാണ് ഇത്.
തീർത്ഥാടകർക്ക് സമാധാനപരമായ ഒരു ആത്മീയ അന്തരീക്ഷം ഈ പ്രദേശം പ്രദാനം ചെയ്യുന്നു.")</f>
        <v>ശ്രീശൈലം മേഖലയിൽ സ്ഥിതി ചെയ്യുന്ന ഒരു പുണ്യ വനപ്രദേശമാണ് രുദ്രാക്ഷവനം.
ശിവനുമായി അടുത്ത ബന്ധമുള്ള രുദ്രാക്ഷവൃക്ഷങ്ങൾക്ക് പേരുകേട്ടതാണ് ഇത്.
തീർത്ഥാടകർക്ക് സമാധാനപരമായ ഒരു ആത്മീയ അന്തരീക്ഷം ഈ പ്രദേശം പ്രദാനം ചെയ്യുന്നു.</v>
      </c>
    </row>
    <row r="150" ht="18.0" customHeight="1">
      <c r="A150" s="6">
        <f t="shared" si="1"/>
        <v>149</v>
      </c>
      <c r="B150" s="13" t="s">
        <v>525</v>
      </c>
      <c r="C150" s="14">
        <v>16.07306</v>
      </c>
      <c r="D150" s="15">
        <v>78.86735</v>
      </c>
      <c r="E150" s="24" t="s">
        <v>424</v>
      </c>
      <c r="F150" s="13" t="s">
        <v>526</v>
      </c>
      <c r="G150" s="13" t="s">
        <v>527</v>
      </c>
      <c r="H150" s="13" t="s">
        <v>528</v>
      </c>
      <c r="I150" s="13" t="s">
        <v>529</v>
      </c>
      <c r="J150" s="13" t="s">
        <v>530</v>
      </c>
      <c r="K150" s="16" t="s">
        <v>531</v>
      </c>
      <c r="L150" s="10" t="str">
        <f>IFERROR(__xludf.DUMMYFUNCTION("GOOGLETRANSLATE(K150,""en"",""te"")"),"మహాదేవ నంది శ్రీశైలంలో మల్లికార్జున స్వామికి సంబంధించిన పవిత్రమైన ఎద్దు.
నంది భక్తి, క్రమశిక్షణ మరియు అచంచల విశ్వాసాన్ని సూచిస్తుంది.
భక్తులు సాంప్రదాయకంగా ప్రధాన ఆలయంలోకి ప్రవేశించే ముందు నందిని పూజిస్తారు.")</f>
        <v>మహాదేవ నంది శ్రీశైలంలో మల్లికార్జున స్వామికి సంబంధించిన పవిత్రమైన ఎద్దు.
నంది భక్తి, క్రమశిక్షణ మరియు అచంచల విశ్వాసాన్ని సూచిస్తుంది.
భక్తులు సాంప్రదాయకంగా ప్రధాన ఆలయంలోకి ప్రవేశించే ముందు నందిని పూజిస్తారు.</v>
      </c>
      <c r="M150" s="10" t="str">
        <f>IFERROR(__xludf.DUMMYFUNCTION("GOOGLETRANSLATE(K150,""en"",""hi"")"),"श्रीशैलम में भगवान मल्लिकार्जुन से जुड़े पवित्र बैल महादेव नंदी हैं।
नंदी भक्ति, अनुशासन और अटूट आस्था का प्रतीक हैं।
भक्त परंपरा के अनुसार मुख्य मंदिर में प्रवेश करने से पहले नंदी की पूजा करते हैं।")</f>
        <v>श्रीशैलम में भगवान मल्लिकार्जुन से जुड़े पवित्र बैल महादेव नंदी हैं।
नंदी भक्ति, अनुशासन और अटूट आस्था का प्रतीक हैं।
भक्त परंपरा के अनुसार मुख्य मंदिर में प्रवेश करने से पहले नंदी की पूजा करते हैं।</v>
      </c>
      <c r="N150" s="10" t="str">
        <f>IFERROR(__xludf.DUMMYFUNCTION("GOOGLETRANSLATE(K150,""en"",""ta"")"),"மகாதேவ நந்தி என்பது ஸ்ரீசைலத்தில் உள்ள மல்லிகார்ஜுனருடன் தொடர்புடைய புனித காளை.
நந்தி பக்தி, ஒழுக்கம் மற்றும் அசைக்க முடியாத நம்பிக்கையைக் குறிக்கிறது.
பக்தர்கள் பாரம்பரியமாக பிரதான கோயிலுக்குள் நுழைவதற்கு முன்பு நந்தியை வணங்குகிறார்கள்.")</f>
        <v>மகாதேவ நந்தி என்பது ஸ்ரீசைலத்தில் உள்ள மல்லிகார்ஜுனருடன் தொடர்புடைய புனித காளை.
நந்தி பக்தி, ஒழுக்கம் மற்றும் அசைக்க முடியாத நம்பிக்கையைக் குறிக்கிறது.
பக்தர்கள் பாரம்பரியமாக பிரதான கோயிலுக்குள் நுழைவதற்கு முன்பு நந்தியை வணங்குகிறார்கள்.</v>
      </c>
      <c r="O150" s="8" t="str">
        <f>IFERROR(__xludf.DUMMYFUNCTION("GOOGLETRANSLATE(K150,""en"",""kn"")"),"ಮಹಾದೇವ ನಂದಿ ಶ್ರೀಶೈಲದಲ್ಲಿ ಮಲ್ಲಿಕಾರ್ಜುನ ದೇವರಿಗೆ ಸಂಬಂಧಿಸಿದ ಪವಿತ್ರ ಗೂಳಿ.
ನಂದಿ ಭಕ್ತಿ, ಶಿಸ್ತು ಮತ್ತು ಅಚಲ ನಂಬಿಕೆಯನ್ನು ಸಂಕೇತಿಸುತ್ತದೆ.
ಭಕ್ತರು ಸಾಂಪ್ರದಾಯಿಕವಾಗಿ ಮುಖ್ಯ ದೇವಾಲಯವನ್ನು ಪ್ರವೇಶಿಸುವ ಮೊದಲು ನಂದಿಯನ್ನು ಪೂಜಿಸುತ್ತಾರೆ.")</f>
        <v>ಮಹಾದೇವ ನಂದಿ ಶ್ರೀಶೈಲದಲ್ಲಿ ಮಲ್ಲಿಕಾರ್ಜುನ ದೇವರಿಗೆ ಸಂಬಂಧಿಸಿದ ಪವಿತ್ರ ಗೂಳಿ.
ನಂದಿ ಭಕ್ತಿ, ಶಿಸ್ತು ಮತ್ತು ಅಚಲ ನಂಬಿಕೆಯನ್ನು ಸಂಕೇತಿಸುತ್ತದೆ.
ಭಕ್ತರು ಸಾಂಪ್ರದಾಯಿಕವಾಗಿ ಮುಖ್ಯ ದೇವಾಲಯವನ್ನು ಪ್ರವೇಶಿಸುವ ಮೊದಲು ನಂದಿಯನ್ನು ಪೂಜಿಸುತ್ತಾರೆ.</v>
      </c>
      <c r="P150" s="10" t="str">
        <f>IFERROR(__xludf.DUMMYFUNCTION("GOOGLETRANSLATE(K150,""en"",""ml"")"),"ശ്രീശൈലത്തിലെ മല്ലികാർജ്ജുന ഭഗവാനുമായി ബന്ധപ്പെട്ടിരിക്കുന്ന പവിത്രമായ കാളയാണ് മഹാദേവ നന്ദി.
നന്തി ഭക്തി, അച്ചടക്കം, അചഞ്ചലമായ വിശ്വാസം എന്നിവയെ പ്രതീകപ്പെടുത്തുന്നു.
പ്രധാന ക്ഷേത്രത്തിൽ പ്രവേശിക്കുന്നതിന് മുമ്പ് ഭക്തർ പരമ്പരാഗതമായി നന്ദിയെ ആരാധിക്കുന്ന"&amp;"ു.")</f>
        <v>ശ്രീശൈലത്തിലെ മല്ലികാർജ്ജുന ഭഗവാനുമായി ബന്ധപ്പെട്ടിരിക്കുന്ന പവിത്രമായ കാളയാണ് മഹാദേവ നന്ദി.
നന്തി ഭക്തി, അച്ചടക്കം, അചഞ്ചലമായ വിശ്വാസം എന്നിവയെ പ്രതീകപ്പെടുത്തുന്നു.
പ്രധാന ക്ഷേത്രത്തിൽ പ്രവേശിക്കുന്നതിന് മുമ്പ് ഭക്തർ പരമ്പരാഗതമായി നന്ദിയെ ആരാധിക്കുന്നു.</v>
      </c>
    </row>
    <row r="151">
      <c r="A151" s="6">
        <f t="shared" si="1"/>
        <v>150</v>
      </c>
      <c r="B151" s="6" t="s">
        <v>532</v>
      </c>
      <c r="C151" s="6">
        <v>16.0714947</v>
      </c>
      <c r="D151" s="6">
        <v>78.8699388</v>
      </c>
      <c r="E151" s="5" t="s">
        <v>533</v>
      </c>
      <c r="F151" s="8" t="s">
        <v>534</v>
      </c>
      <c r="G151" s="8" t="s">
        <v>535</v>
      </c>
      <c r="H151" s="8" t="s">
        <v>536</v>
      </c>
      <c r="I151" s="8" t="s">
        <v>537</v>
      </c>
      <c r="J151" s="8" t="s">
        <v>538</v>
      </c>
      <c r="K151" s="12" t="s">
        <v>539</v>
      </c>
      <c r="L151" s="10" t="str">
        <f>IFERROR(__xludf.DUMMYFUNCTION("GOOGLETRANSLATE(K151,""en"",""te"")"),"APTDC రెస్టారెంట్ అనేది ఆంధ్రప్రదేశ్ పర్యాటక రంగం నిర్వహించే ప్రభుత్వం నిర్వహించే భోజన సౌకర్యం. ఇది ప్రామాణిక శాఖాహారం మరియు మాంసాహార భోజనాలను అందిస్తుంది.")</f>
        <v>APTDC రెస్టారెంట్ అనేది ఆంధ్రప్రదేశ్ పర్యాటక రంగం నిర్వహించే ప్రభుత్వం నిర్వహించే భోజన సౌకర్యం. ఇది ప్రామాణిక శాఖాహారం మరియు మాంసాహార భోజనాలను అందిస్తుంది.</v>
      </c>
      <c r="M151" s="10" t="str">
        <f>IFERROR(__xludf.DUMMYFUNCTION("GOOGLETRANSLATE(K151,""en"",""hi"")"),"एपीटीडीसी रेस्टोरेंट आंध्र प्रदेश पर्यटन द्वारा संचालित एक सरकारी भोजनालय है। यहाँ शाकाहारी और मांसाहारी दोनों प्रकार के भोजन परोसे जाते हैं।")</f>
        <v>एपीटीडीसी रेस्टोरेंट आंध्र प्रदेश पर्यटन द्वारा संचालित एक सरकारी भोजनालय है। यहाँ शाकाहारी और मांसाहारी दोनों प्रकार के भोजन परोसे जाते हैं।</v>
      </c>
      <c r="N151" s="10" t="str">
        <f>IFERROR(__xludf.DUMMYFUNCTION("GOOGLETRANSLATE(K151,""en"",""ta"")"),"APTDC உணவகம் என்பது ஆந்திரப் பிரதேச சுற்றுலாவால் நிர்வகிக்கப்படும் அரசாங்கத்தால் இயக்கப்படும் ஒரு உணவகமாகும். இது நிலையான சைவ மற்றும் அசைவ உணவுகளை வழங்குகிறது.")</f>
        <v>APTDC உணவகம் என்பது ஆந்திரப் பிரதேச சுற்றுலாவால் நிர்வகிக்கப்படும் அரசாங்கத்தால் இயக்கப்படும் ஒரு உணவகமாகும். இது நிலையான சைவ மற்றும் அசைவ உணவுகளை வழங்குகிறது.</v>
      </c>
      <c r="O151" s="10" t="str">
        <f>IFERROR(__xludf.DUMMYFUNCTION("GOOGLETRANSLATE(K151,""en"",""kn"")"),"APTDC ರೆಸ್ಟೋರೆಂಟ್ ಆಂಧ್ರಪ್ರದೇಶ ಪ್ರವಾಸೋದ್ಯಮದಿಂದ ನಿರ್ವಹಿಸಲ್ಪಡುವ ಸರ್ಕಾರಿ-ನಿರ್ವಹಣೆಯ ಊಟದ ಸೌಲಭ್ಯವಾಗಿದೆ. ಇದು ಪ್ರಮಾಣಿತ ಸಸ್ಯಾಹಾರಿ ಮತ್ತು ಮಾಂಸಾಹಾರಿ ಊಟಗಳನ್ನು ಒದಗಿಸುತ್ತದೆ.")</f>
        <v>APTDC ರೆಸ್ಟೋರೆಂಟ್ ಆಂಧ್ರಪ್ರದೇಶ ಪ್ರವಾಸೋದ್ಯಮದಿಂದ ನಿರ್ವಹಿಸಲ್ಪಡುವ ಸರ್ಕಾರಿ-ನಿರ್ವಹಣೆಯ ಊಟದ ಸೌಲಭ್ಯವಾಗಿದೆ. ಇದು ಪ್ರಮಾಣಿತ ಸಸ್ಯಾಹಾರಿ ಮತ್ತು ಮಾಂಸಾಹಾರಿ ಊಟಗಳನ್ನು ಒದಗಿಸುತ್ತದೆ.</v>
      </c>
      <c r="P151" s="10" t="str">
        <f>IFERROR(__xludf.DUMMYFUNCTION("GOOGLETRANSLATE(K151,""en"",""ml"")"),"ആന്ധ്രാപ്രദേശ് ടൂറിസം നിയന്ത്രിക്കുന്ന സർക്കാർ ഉടമസ്ഥതയിലുള്ള ഒരു ഡൈനിംഗ് സൗകര്യമാണ് എപിടിഡിസി റെസ്റ്റോറന്റ്. ഇത് സാധാരണ വെജിറ്റേറിയൻ, നോൺ-വെജിറ്റേറിയൻ ഭക്ഷണം വിളമ്പുന്നു.")</f>
        <v>ആന്ധ്രാപ്രദേശ് ടൂറിസം നിയന്ത്രിക്കുന്ന സർക്കാർ ഉടമസ്ഥതയിലുള്ള ഒരു ഡൈനിംഗ് സൗകര്യമാണ് എപിടിഡിസി റെസ്റ്റോറന്റ്. ഇത് സാധാരണ വെജിറ്റേറിയൻ, നോൺ-വെജിറ്റേറിയൻ ഭക്ഷണം വിളമ്പുന്നു.</v>
      </c>
    </row>
    <row r="152">
      <c r="A152" s="6">
        <f t="shared" si="1"/>
        <v>151</v>
      </c>
      <c r="B152" s="6" t="s">
        <v>540</v>
      </c>
      <c r="C152" s="6">
        <v>16.0710691</v>
      </c>
      <c r="D152" s="6">
        <v>78.8717381</v>
      </c>
      <c r="E152" s="5" t="s">
        <v>533</v>
      </c>
      <c r="F152" s="11" t="str">
        <f>IFERROR(__xludf.DUMMYFUNCTION("GOOGLETRANSLATE(B152,""en"",""te"")"),"త్రిశూల్ ఫ్యామలి రెస్టారెంట్")</f>
        <v>త్రిశూల్ ఫ్యామలి రెస్టారెంట్</v>
      </c>
      <c r="G152" s="10" t="str">
        <f>IFERROR(__xludf.DUMMYFUNCTION("GOOGLETRANSLATE(B152,""en"",""hi"")"),"त्रिशूल फैमिली रेस्टोरेंट")</f>
        <v>त्रिशूल फैमिली रेस्टोरेंट</v>
      </c>
      <c r="H152" s="10" t="str">
        <f>IFERROR(__xludf.DUMMYFUNCTION("GOOGLETRANSLATE(B152,""en"",""ta"")"),"திரிஷுல் ஃபேமலி ரெஸ்டிராண்ட்")</f>
        <v>திரிஷுல் ஃபேமலி ரெஸ்டிராண்ட்</v>
      </c>
      <c r="I152" s="10" t="str">
        <f>IFERROR(__xludf.DUMMYFUNCTION("GOOGLETRANSLATE(B152,""en"",""kn"")"),"ತ್ರಿಶೂಲ್ ಫ್ಯಾಮಲಿ ರೆಸ್ಟೋರೆಂಟ್")</f>
        <v>ತ್ರಿಶೂಲ್ ಫ್ಯಾಮಲಿ ರೆಸ್ಟೋರೆಂಟ್</v>
      </c>
      <c r="J152" s="10" t="str">
        <f>IFERROR(__xludf.DUMMYFUNCTION("GOOGLETRANSLATE(B152,""en"",""ml"")"),"ത്രിശൂൽ ഫ്യാമലി രെസ്ട്രംറ്റ്")</f>
        <v>ത്രിശൂൽ ഫ്യാമലി രെസ്ട്രംറ്റ്</v>
      </c>
      <c r="K152" s="12" t="s">
        <v>541</v>
      </c>
      <c r="L152" s="10" t="str">
        <f>IFERROR(__xludf.DUMMYFUNCTION("GOOGLETRANSLATE(K152,""en"",""te"")"),"త్రిశూల్ ఫ్యామిలీ రెస్టారెంట్ కుటుంబ-స్నేహపూర్వక వాతావరణంలో సాధారణ భారతీయ భోజనాలను అందిస్తుంది. ఈ రెస్టారెంట్ చిన్న మరియు పెద్ద సమూహాలకు ప్రాథమిక సీటింగ్‌ను అందిస్తుంది.")</f>
        <v>త్రిశూల్ ఫ్యామిలీ రెస్టారెంట్ కుటుంబ-స్నేహపూర్వక వాతావరణంలో సాధారణ భారతీయ భోజనాలను అందిస్తుంది. ఈ రెస్టారెంట్ చిన్న మరియు పెద్ద సమూహాలకు ప్రాథమిక సీటింగ్‌ను అందిస్తుంది.</v>
      </c>
      <c r="M152" s="10" t="str">
        <f>IFERROR(__xludf.DUMMYFUNCTION("GOOGLETRANSLATE(K152,""en"",""hi"")"),"त्रिशूल फैमिली रेस्टोरेंट पारिवारिक माहौल में नियमित भारतीय भोजन परोसता है। रेस्टोरेंट में छोटे और बड़े समूहों के लिए बैठने की सामान्य व्यवस्था है।")</f>
        <v>त्रिशूल फैमिली रेस्टोरेंट पारिवारिक माहौल में नियमित भारतीय भोजन परोसता है। रेस्टोरेंट में छोटे और बड़े समूहों के लिए बैठने की सामान्य व्यवस्था है।</v>
      </c>
      <c r="N152" s="10" t="str">
        <f>IFERROR(__xludf.DUMMYFUNCTION("GOOGLETRANSLATE(K152,""en"",""ta"")"),"திரிசூல் குடும்ப உணவகம் குடும்பத்திற்கு ஏற்ற சூழலில் வழக்கமான இந்திய உணவுகளை வழங்குகிறது. இந்த உணவகம் சிறிய மற்றும் பெரிய குழுக்களுக்கு அடிப்படை இருக்கைகளை வழங்குகிறது.")</f>
        <v>திரிசூல் குடும்ப உணவகம் குடும்பத்திற்கு ஏற்ற சூழலில் வழக்கமான இந்திய உணவுகளை வழங்குகிறது. இந்த உணவகம் சிறிய மற்றும் பெரிய குழுக்களுக்கு அடிப்படை இருக்கைகளை வழங்குகிறது.</v>
      </c>
      <c r="O152" s="10" t="str">
        <f>IFERROR(__xludf.DUMMYFUNCTION("GOOGLETRANSLATE(K152,""en"",""kn"")"),"ತ್ರಿಶೂಲ್ ಫ್ಯಾಮಿಲಿ ರೆಸ್ಟೋರೆಂಟ್ ಕುಟುಂಬ ಸ್ನೇಹಿ ವಾತಾವರಣದಲ್ಲಿ ನಿಯಮಿತ ಭಾರತೀಯ ಊಟಗಳನ್ನು ನೀಡುತ್ತದೆ. ರೆಸ್ಟೋರೆಂಟ್ ಸಣ್ಣ ಮತ್ತು ದೊಡ್ಡ ಗುಂಪುಗಳಿಗೆ ಮೂಲಭೂತ ಆಸನಗಳನ್ನು ಒದಗಿಸುತ್ತದೆ.")</f>
        <v>ತ್ರಿಶೂಲ್ ಫ್ಯಾಮಿಲಿ ರೆಸ್ಟೋರೆಂಟ್ ಕುಟುಂಬ ಸ್ನೇಹಿ ವಾತಾವರಣದಲ್ಲಿ ನಿಯಮಿತ ಭಾರತೀಯ ಊಟಗಳನ್ನು ನೀಡುತ್ತದೆ. ರೆಸ್ಟೋರೆಂಟ್ ಸಣ್ಣ ಮತ್ತು ದೊಡ್ಡ ಗುಂಪುಗಳಿಗೆ ಮೂಲಭೂತ ಆಸನಗಳನ್ನು ಒದಗಿಸುತ್ತದೆ.</v>
      </c>
      <c r="P152" s="10" t="str">
        <f>IFERROR(__xludf.DUMMYFUNCTION("GOOGLETRANSLATE(K152,""en"",""ml"")"),"ത്രിശൂൽ ഫാമിലി റെസ്റ്റോറന്റ് കുടുംബങ്ങൾക്ക് അനുയോജ്യമായ രീതിയിൽ പതിവ് ഇന്ത്യൻ ഭക്ഷണം വാഗ്ദാനം ചെയ്യുന്നു. ചെറുതും വലുതുമായ ഗ്രൂപ്പുകൾക്ക് അനുയോജ്യമായ അടിസ്ഥാന ഇരിപ്പിടങ്ങൾ റെസ്റ്റോറന്റ് നൽകുന്നു.")</f>
        <v>ത്രിശൂൽ ഫാമിലി റെസ്റ്റോറന്റ് കുടുംബങ്ങൾക്ക് അനുയോജ്യമായ രീതിയിൽ പതിവ് ഇന്ത്യൻ ഭക്ഷണം വാഗ്ദാനം ചെയ്യുന്നു. ചെറുതും വലുതുമായ ഗ്രൂപ്പുകൾക്ക് അനുയോജ്യമായ അടിസ്ഥാന ഇരിപ്പിടങ്ങൾ റെസ്റ്റോറന്റ് നൽകുന്നു.</v>
      </c>
    </row>
    <row r="153">
      <c r="A153" s="6">
        <f t="shared" si="1"/>
        <v>152</v>
      </c>
      <c r="B153" s="6" t="s">
        <v>542</v>
      </c>
      <c r="C153" s="6">
        <v>16.0749069</v>
      </c>
      <c r="D153" s="6">
        <v>78.8727013</v>
      </c>
      <c r="E153" s="5" t="s">
        <v>533</v>
      </c>
      <c r="F153" s="11" t="str">
        <f>IFERROR(__xludf.DUMMYFUNCTION("GOOGLETRANSLATE(B153,""en"",""te"")"),"హోటల్ సహస్ర")</f>
        <v>హోటల్ సహస్ర</v>
      </c>
      <c r="G153" s="10" t="str">
        <f>IFERROR(__xludf.DUMMYFUNCTION("GOOGLETRANSLATE(B153,""en"",""hi"")"),"होटल सहस्रा")</f>
        <v>होटल सहस्रा</v>
      </c>
      <c r="H153" s="10" t="str">
        <f>IFERROR(__xludf.DUMMYFUNCTION("GOOGLETRANSLATE(B153,""en"",""ta"")"),"ஹோட்டல் சஹஸ்ரா")</f>
        <v>ஹோட்டல் சஹஸ்ரா</v>
      </c>
      <c r="I153" s="10" t="str">
        <f>IFERROR(__xludf.DUMMYFUNCTION("GOOGLETRANSLATE(B153,""en"",""kn"")"),"ಹೋಟಲ್‌ ಸಹಸ್ರಾ")</f>
        <v>ಹೋಟಲ್‌ ಸಹಸ್ರಾ</v>
      </c>
      <c r="J153" s="10" t="str">
        <f>IFERROR(__xludf.DUMMYFUNCTION("GOOGLETRANSLATE(B153,""en"",""ml"")"),"ഹോട്ടൽ സഹസ്ര")</f>
        <v>ഹോട്ടൽ സഹസ്ര</v>
      </c>
      <c r="K153" s="12" t="s">
        <v>543</v>
      </c>
      <c r="L153" s="10" t="str">
        <f>IFERROR(__xludf.DUMMYFUNCTION("GOOGLETRANSLATE(K153,""en"",""te"")"),"హోటల్ సహస్రలో రోజువారీ శాఖాహార భోజనాన్ని అందించే ఇన్-హౌస్ రెస్టారెంట్ ఉంది. ఆహారం సరళమైనది మరియు యాత్రికులకు అనుకూలంగా ఉంటుంది. రద్దీ సమయాల్లో సేవ స్థిరంగా ఉంటుంది. సమీపంలోని అతిథులకు ఇది సౌకర్యంగా ఉంటుంది.")</f>
        <v>హోటల్ సహస్రలో రోజువారీ శాఖాహార భోజనాన్ని అందించే ఇన్-హౌస్ రెస్టారెంట్ ఉంది. ఆహారం సరళమైనది మరియు యాత్రికులకు అనుకూలంగా ఉంటుంది. రద్దీ సమయాల్లో సేవ స్థిరంగా ఉంటుంది. సమీపంలోని అతిథులకు ఇది సౌకర్యంగా ఉంటుంది.</v>
      </c>
      <c r="M153" s="10" t="str">
        <f>IFERROR(__xludf.DUMMYFUNCTION("GOOGLETRANSLATE(K153,""en"",""hi"")"),"होटल सहस्रा में एक रेस्तरां है जहाँ प्रतिदिन शाकाहारी भोजन परोसा जाता है। भोजन सादा और तीर्थयात्रियों के लिए उपयुक्त है। व्यस्त समय में भी सेवा सुचारू रूप से चलती है। आस-पास ठहरने वाले मेहमानों के लिए यह सुविधाजनक है।")</f>
        <v>होटल सहस्रा में एक रेस्तरां है जहाँ प्रतिदिन शाकाहारी भोजन परोसा जाता है। भोजन सादा और तीर्थयात्रियों के लिए उपयुक्त है। व्यस्त समय में भी सेवा सुचारू रूप से चलती है। आस-पास ठहरने वाले मेहमानों के लिए यह सुविधाजनक है।</v>
      </c>
      <c r="N153" s="10" t="str">
        <f>IFERROR(__xludf.DUMMYFUNCTION("GOOGLETRANSLATE(K153,""en"",""ta"")"),"ஹோட்டல் சஹஸ்ராவில் தினசரி சைவ உணவுகளை வழங்கும் ஒரு உணவகம் உள்ளது. உணவு எளிமையானது மற்றும் யாத்ரீகர்களுக்கு ஏற்றது. உச்ச நேரங்களில் சேவை சீராக இருக்கும். அருகில் தங்கியிருக்கும் விருந்தினர்களுக்கு இது வசதியானது.")</f>
        <v>ஹோட்டல் சஹஸ்ராவில் தினசரி சைவ உணவுகளை வழங்கும் ஒரு உணவகம் உள்ளது. உணவு எளிமையானது மற்றும் யாத்ரீகர்களுக்கு ஏற்றது. உச்ச நேரங்களில் சேவை சீராக இருக்கும். அருகில் தங்கியிருக்கும் விருந்தினர்களுக்கு இது வசதியானது.</v>
      </c>
      <c r="O153" s="10" t="str">
        <f>IFERROR(__xludf.DUMMYFUNCTION("GOOGLETRANSLATE(K153,""en"",""kn"")"),"ಹೋಟೆಲ್ ಸಹಸ್ರವು ದೈನಂದಿನ ಸಸ್ಯಾಹಾರಿ ಊಟವನ್ನು ನೀಡುವ ಆಂತರಿಕ ರೆಸ್ಟೋರೆಂಟ್ ಅನ್ನು ಹೊಂದಿದೆ. ಆಹಾರ ಸರಳ ಮತ್ತು ಯಾತ್ರಿಕರಿಗೆ ಸೂಕ್ತವಾಗಿದೆ. ಪೀಕ್ ಸಮಯದಲ್ಲಿ ಸೇವೆ ಸ್ಥಿರವಾಗಿರುತ್ತದೆ. ಹತ್ತಿರದಲ್ಲಿಯೇ ಇರುವ ಅತಿಥಿಗಳಿಗೆ ಇದು ಅನುಕೂಲಕರವಾಗಿದೆ.")</f>
        <v>ಹೋಟೆಲ್ ಸಹಸ್ರವು ದೈನಂದಿನ ಸಸ್ಯಾಹಾರಿ ಊಟವನ್ನು ನೀಡುವ ಆಂತರಿಕ ರೆಸ್ಟೋರೆಂಟ್ ಅನ್ನು ಹೊಂದಿದೆ. ಆಹಾರ ಸರಳ ಮತ್ತು ಯಾತ್ರಿಕರಿಗೆ ಸೂಕ್ತವಾಗಿದೆ. ಪೀಕ್ ಸಮಯದಲ್ಲಿ ಸೇವೆ ಸ್ಥಿರವಾಗಿರುತ್ತದೆ. ಹತ್ತಿರದಲ್ಲಿಯೇ ಇರುವ ಅತಿಥಿಗಳಿಗೆ ಇದು ಅನುಕೂಲಕರವಾಗಿದೆ.</v>
      </c>
      <c r="P153" s="10" t="str">
        <f>IFERROR(__xludf.DUMMYFUNCTION("GOOGLETRANSLATE(K153,""en"",""ml"")"),"ഹോട്ടൽ സഹസ്രയിൽ ദിവസേന സസ്യാഹാരം വിളമ്പുന്ന ഒരു ഇൻ-ഹൗസ് റെസ്റ്റോറന്റ് ഉണ്ട്. ഭക്ഷണം ലളിതവും തീർത്ഥാടകർക്ക് അനുയോജ്യവുമാണ്. തിരക്കേറിയ സമയങ്ങളിൽ സേവനം സ്ഥിരമായിരിക്കും. സമീപത്ത് താമസിക്കുന്ന അതിഥികൾക്ക് ഇത് സൗകര്യപ്രദമാണ്.")</f>
        <v>ഹോട്ടൽ സഹസ്രയിൽ ദിവസേന സസ്യാഹാരം വിളമ്പുന്ന ഒരു ഇൻ-ഹൗസ് റെസ്റ്റോറന്റ് ഉണ്ട്. ഭക്ഷണം ലളിതവും തീർത്ഥാടകർക്ക് അനുയോജ്യവുമാണ്. തിരക്കേറിയ സമയങ്ങളിൽ സേവനം സ്ഥിരമായിരിക്കും. സമീപത്ത് താമസിക്കുന്ന അതിഥികൾക്ക് ഇത് സൗകര്യപ്രദമാണ്.</v>
      </c>
    </row>
    <row r="154">
      <c r="A154" s="6">
        <f t="shared" si="1"/>
        <v>153</v>
      </c>
      <c r="B154" s="6" t="s">
        <v>544</v>
      </c>
      <c r="C154" s="6">
        <v>16.0735765</v>
      </c>
      <c r="D154" s="6">
        <v>78.8747529</v>
      </c>
      <c r="E154" s="5" t="s">
        <v>533</v>
      </c>
      <c r="F154" s="11" t="str">
        <f>IFERROR(__xludf.DUMMYFUNCTION("GOOGLETRANSLATE(B154,""en"",""te"")"),"హోటల్ శ్రావణి")</f>
        <v>హోటల్ శ్రావణి</v>
      </c>
      <c r="G154" s="10" t="str">
        <f>IFERROR(__xludf.DUMMYFUNCTION("GOOGLETRANSLATE(B154,""en"",""hi"")"),"होटल श्रावणी")</f>
        <v>होटल श्रावणी</v>
      </c>
      <c r="H154" s="10" t="str">
        <f>IFERROR(__xludf.DUMMYFUNCTION("GOOGLETRANSLATE(B154,""en"",""ta"")"),"ஹோட்டல் ஸ்ரவாணி")</f>
        <v>ஹோட்டல் ஸ்ரவாணி</v>
      </c>
      <c r="I154" s="10" t="str">
        <f>IFERROR(__xludf.DUMMYFUNCTION("GOOGLETRANSLATE(B154,""en"",""kn"")"),"ಹೋಟಲ್‌ ಶ್ರಾವಣಿ")</f>
        <v>ಹೋಟಲ್‌ ಶ್ರಾವಣಿ</v>
      </c>
      <c r="J154" s="10" t="str">
        <f>IFERROR(__xludf.DUMMYFUNCTION("GOOGLETRANSLATE(B154,""en"",""ml"")"),"ഹോട്ടൽ ശ്രാവണി")</f>
        <v>ഹോട്ടൽ ശ്രാവണി</v>
      </c>
      <c r="K154" s="12" t="s">
        <v>545</v>
      </c>
      <c r="L154" s="10" t="str">
        <f>IFERROR(__xludf.DUMMYFUNCTION("GOOGLETRANSLATE(K154,""en"",""te"")"),"హోటల్ శ్రావణి దక్షిణ భారత భోజనం మరియు అల్పాహార వస్తువులను అందిస్తుంది. రెస్టారెంట్ త్వరిత సేవపై దృష్టి పెడుతుంది. సీటింగ్ పరిమితం కానీ ప్రయోజనకరంగా ఉంటుంది. ఇది చిన్న భోజన స్టాపులకు అనుకూలంగా ఉంటుంది.")</f>
        <v>హోటల్ శ్రావణి దక్షిణ భారత భోజనం మరియు అల్పాహార వస్తువులను అందిస్తుంది. రెస్టారెంట్ త్వరిత సేవపై దృష్టి పెడుతుంది. సీటింగ్ పరిమితం కానీ ప్రయోజనకరంగా ఉంటుంది. ఇది చిన్న భోజన స్టాపులకు అనుకూలంగా ఉంటుంది.</v>
      </c>
      <c r="M154" s="10" t="str">
        <f>IFERROR(__xludf.DUMMYFUNCTION("GOOGLETRANSLATE(K154,""en"",""hi"")"),"होटल श्रावणी में दक्षिण भारतीय व्यंजन और नाश्ता परोसा जाता है। रेस्टोरेंट में त्वरित सेवा पर विशेष ध्यान दिया जाता है। बैठने की जगह सीमित है लेकिन पर्याप्त है। यह थोड़े समय के लिए भोजन करने के लिए उपयुक्त है।")</f>
        <v>होटल श्रावणी में दक्षिण भारतीय व्यंजन और नाश्ता परोसा जाता है। रेस्टोरेंट में त्वरित सेवा पर विशेष ध्यान दिया जाता है। बैठने की जगह सीमित है लेकिन पर्याप्त है। यह थोड़े समय के लिए भोजन करने के लिए उपयुक्त है।</v>
      </c>
      <c r="N154" s="10" t="str">
        <f>IFERROR(__xludf.DUMMYFUNCTION("GOOGLETRANSLATE(K154,""en"",""ta"")"),"ஹோட்டல் ஸ்ரவாணி தென்னிந்திய உணவுகள் மற்றும் காலை உணவுப் பொருட்களை வழங்குகிறது. உணவகம் விரைவான சேவையில் கவனம் செலுத்துகிறது. இருக்கைகள் குறைவாக இருந்தாலும் செயல்பாட்டுடன் உள்ளது. இது குறுகிய உணவு நிறுத்தங்களுக்கு ஏற்றது.")</f>
        <v>ஹோட்டல் ஸ்ரவாணி தென்னிந்திய உணவுகள் மற்றும் காலை உணவுப் பொருட்களை வழங்குகிறது. உணவகம் விரைவான சேவையில் கவனம் செலுத்துகிறது. இருக்கைகள் குறைவாக இருந்தாலும் செயல்பாட்டுடன் உள்ளது. இது குறுகிய உணவு நிறுத்தங்களுக்கு ஏற்றது.</v>
      </c>
      <c r="O154" s="10" t="str">
        <f>IFERROR(__xludf.DUMMYFUNCTION("GOOGLETRANSLATE(K154,""en"",""kn"")"),"ಹೋಟೆಲ್ ಶ್ರಾವಣಿ ದಕ್ಷಿಣ ಭಾರತೀಯ ಊಟ ಮತ್ತು ಉಪಾಹಾರ ಸಾಮಗ್ರಿಗಳನ್ನು ಒದಗಿಸುತ್ತದೆ. ರೆಸ್ಟೋರೆಂಟ್ ತ್ವರಿತ ಸೇವೆಯ ಮೇಲೆ ಕೇಂದ್ರೀಕರಿಸುತ್ತದೆ. ಆಸನಗಳು ಸೀಮಿತವಾಗಿವೆ ಆದರೆ ಕ್ರಿಯಾತ್ಮಕವಾಗಿವೆ. ಇದು ಸಣ್ಣ ಊಟದ ನಿಲ್ದಾಣಗಳಿಗೆ ಸೂಕ್ತವಾಗಿದೆ.")</f>
        <v>ಹೋಟೆಲ್ ಶ್ರಾವಣಿ ದಕ್ಷಿಣ ಭಾರತೀಯ ಊಟ ಮತ್ತು ಉಪಾಹಾರ ಸಾಮಗ್ರಿಗಳನ್ನು ಒದಗಿಸುತ್ತದೆ. ರೆಸ್ಟೋರೆಂಟ್ ತ್ವರಿತ ಸೇವೆಯ ಮೇಲೆ ಕೇಂದ್ರೀಕರಿಸುತ್ತದೆ. ಆಸನಗಳು ಸೀಮಿತವಾಗಿವೆ ಆದರೆ ಕ್ರಿಯಾತ್ಮಕವಾಗಿವೆ. ಇದು ಸಣ್ಣ ಊಟದ ನಿಲ್ದಾಣಗಳಿಗೆ ಸೂಕ್ತವಾಗಿದೆ.</v>
      </c>
      <c r="P154" s="10" t="str">
        <f>IFERROR(__xludf.DUMMYFUNCTION("GOOGLETRANSLATE(K154,""en"",""ml"")"),"ഹോട്ടൽ ശ്രാവണി ദക്ഷിണേന്ത്യൻ ഭക്ഷണങ്ങളും പ്രഭാതഭക്ഷണ ഇനങ്ങളും വിളമ്പുന്നു. റസ്റ്റോറന്റ് ദ്രുത സേവനത്തിലാണ് ശ്രദ്ധ കേന്ദ്രീകരിക്കുന്നത്. ഇരിപ്പിടങ്ങൾ പരിമിതമാണ്, പക്ഷേ പ്രവർത്തനക്ഷമമാണ്. ചെറിയ ഭക്ഷണ സ്റ്റോപ്പുകൾക്ക് ഇത് അനുയോജ്യമാണ്.")</f>
        <v>ഹോട്ടൽ ശ്രാവണി ദക്ഷിണേന്ത്യൻ ഭക്ഷണങ്ങളും പ്രഭാതഭക്ഷണ ഇനങ്ങളും വിളമ്പുന്നു. റസ്റ്റോറന്റ് ദ്രുത സേവനത്തിലാണ് ശ്രദ്ധ കേന്ദ്രീകരിക്കുന്നത്. ഇരിപ്പിടങ്ങൾ പരിമിതമാണ്, പക്ഷേ പ്രവർത്തനക്ഷമമാണ്. ചെറിയ ഭക്ഷണ സ്റ്റോപ്പുകൾക്ക് ഇത് അനുയോജ്യമാണ്.</v>
      </c>
    </row>
    <row r="155">
      <c r="A155" s="6">
        <f t="shared" si="1"/>
        <v>154</v>
      </c>
      <c r="B155" s="6" t="s">
        <v>546</v>
      </c>
      <c r="C155" s="6">
        <v>16.0735013</v>
      </c>
      <c r="D155" s="6">
        <v>78.8753217</v>
      </c>
      <c r="E155" s="5" t="s">
        <v>533</v>
      </c>
      <c r="F155" s="11" t="str">
        <f>IFERROR(__xludf.DUMMYFUNCTION("GOOGLETRANSLATE(B155,""en"",""te"")"),"హోటల్ మంజునాథ్")</f>
        <v>హోటల్ మంజునాథ్</v>
      </c>
      <c r="G155" s="10" t="str">
        <f>IFERROR(__xludf.DUMMYFUNCTION("GOOGLETRANSLATE(B155,""en"",""hi"")"),"होटल मंजुनाथ")</f>
        <v>होटल मंजुनाथ</v>
      </c>
      <c r="H155" s="10" t="str">
        <f>IFERROR(__xludf.DUMMYFUNCTION("GOOGLETRANSLATE(B155,""en"",""ta"")"),"ஹோட்டல் மஞ்சுநாத்")</f>
        <v>ஹோட்டல் மஞ்சுநாத்</v>
      </c>
      <c r="I155" s="10" t="str">
        <f>IFERROR(__xludf.DUMMYFUNCTION("GOOGLETRANSLATE(B155,""en"",""kn"")"),"ಹೋಟಲ್‌ ಮಂಜುನಾಥ್")</f>
        <v>ಹೋಟಲ್‌ ಮಂಜುನಾಥ್</v>
      </c>
      <c r="J155" s="10" t="str">
        <f>IFERROR(__xludf.DUMMYFUNCTION("GOOGLETRANSLATE(B155,""en"",""ml"")"),"ഹോട്ടൽ മഞ്ജുനാഥ്")</f>
        <v>ഹോട്ടൽ മഞ്ജുനാഥ്</v>
      </c>
      <c r="K155" s="12" t="s">
        <v>547</v>
      </c>
      <c r="L155" s="10" t="str">
        <f>IFERROR(__xludf.DUMMYFUNCTION("GOOGLETRANSLATE(K155,""en"",""te"")"),"హోటల్ మంజునాథ్ సాధారణ భోజన ఏర్పాటులో శాఖాహార భోజనాన్ని అందిస్తుంది. ఆహారాన్ని సాంప్రదాయ శైలిలో తయారు చేస్తారు. దీనిని యాత్రికులు తరచుగా ఉపయోగిస్తారు.")</f>
        <v>హోటల్ మంజునాథ్ సాధారణ భోజన ఏర్పాటులో శాఖాహార భోజనాన్ని అందిస్తుంది. ఆహారాన్ని సాంప్రదాయ శైలిలో తయారు చేస్తారు. దీనిని యాత్రికులు తరచుగా ఉపయోగిస్తారు.</v>
      </c>
      <c r="M155" s="10" t="str">
        <f>IFERROR(__xludf.DUMMYFUNCTION("GOOGLETRANSLATE(K155,""en"",""hi"")"),"होटल मंजुनाथ में साधारण भोजन व्यवस्था में शाकाहारी भोजन उपलब्ध कराया जाता है। भोजन पारंपरिक शैली में तैयार किया जाता है। तीर्थयात्री अक्सर इसका उपयोग करते हैं।")</f>
        <v>होटल मंजुनाथ में साधारण भोजन व्यवस्था में शाकाहारी भोजन उपलब्ध कराया जाता है। भोजन पारंपरिक शैली में तैयार किया जाता है। तीर्थयात्री अक्सर इसका उपयोग करते हैं।</v>
      </c>
      <c r="N155" s="10" t="str">
        <f>IFERROR(__xludf.DUMMYFUNCTION("GOOGLETRANSLATE(K155,""en"",""ta"")"),"ஹோட்டல் மஞ்சுநாத் எளிய உணவு அமைப்பில் சைவ உணவுகளை வழங்குகிறது. உணவு பாரம்பரிய பாணியில் தயாரிக்கப்படுகிறது. இது பெரும்பாலும் யாத்ரீகர்களால் பயன்படுத்தப்படுகிறது.")</f>
        <v>ஹோட்டல் மஞ்சுநாத் எளிய உணவு அமைப்பில் சைவ உணவுகளை வழங்குகிறது. உணவு பாரம்பரிய பாணியில் தயாரிக்கப்படுகிறது. இது பெரும்பாலும் யாத்ரீகர்களால் பயன்படுத்தப்படுகிறது.</v>
      </c>
      <c r="O155" s="10" t="str">
        <f>IFERROR(__xludf.DUMMYFUNCTION("GOOGLETRANSLATE(K155,""en"",""kn"")"),"ಹೋಟೆಲ್ ಮಂಜುನಾಥ್ ಸರಳ ಭೋಜನ ವ್ಯವಸ್ಥೆಯಲ್ಲಿ ಸಸ್ಯಾಹಾರಿ ಊಟವನ್ನು ಒದಗಿಸುತ್ತದೆ. ಆಹಾರವನ್ನು ಸಾಂಪ್ರದಾಯಿಕ ಶೈಲಿಯಲ್ಲಿ ತಯಾರಿಸಲಾಗುತ್ತದೆ. ಇದನ್ನು ಯಾತ್ರಿಕರು ಹೆಚ್ಚಾಗಿ ಬಳಸುತ್ತಾರೆ.")</f>
        <v>ಹೋಟೆಲ್ ಮಂಜುನಾಥ್ ಸರಳ ಭೋಜನ ವ್ಯವಸ್ಥೆಯಲ್ಲಿ ಸಸ್ಯಾಹಾರಿ ಊಟವನ್ನು ಒದಗಿಸುತ್ತದೆ. ಆಹಾರವನ್ನು ಸಾಂಪ್ರದಾಯಿಕ ಶೈಲಿಯಲ್ಲಿ ತಯಾರಿಸಲಾಗುತ್ತದೆ. ಇದನ್ನು ಯಾತ್ರಿಕರು ಹೆಚ್ಚಾಗಿ ಬಳಸುತ್ತಾರೆ.</v>
      </c>
      <c r="P155" s="10" t="str">
        <f>IFERROR(__xludf.DUMMYFUNCTION("GOOGLETRANSLATE(K155,""en"",""ml"")"),"ഹോട്ടൽ മഞ്ജുനാഥ് ലളിതമായ ഭക്ഷണക്രമത്തിൽ സസ്യാഹാരം നൽകുന്നു. പരമ്പരാഗത രീതിയിലാണ് ഭക്ഷണം തയ്യാറാക്കുന്നത്. തീർത്ഥാടകർ പതിവായി ഇത് ഉപയോഗിക്കുന്നു.")</f>
        <v>ഹോട്ടൽ മഞ്ജുനാഥ് ലളിതമായ ഭക്ഷണക്രമത്തിൽ സസ്യാഹാരം നൽകുന്നു. പരമ്പരാഗത രീതിയിലാണ് ഭക്ഷണം തയ്യാറാക്കുന്നത്. തീർത്ഥാടകർ പതിവായി ഇത് ഉപയോഗിക്കുന്നു.</v>
      </c>
    </row>
    <row r="156">
      <c r="A156" s="6">
        <f t="shared" si="1"/>
        <v>155</v>
      </c>
      <c r="B156" s="6" t="s">
        <v>548</v>
      </c>
      <c r="C156" s="6">
        <v>16.0723111</v>
      </c>
      <c r="D156" s="6">
        <v>78.8723451</v>
      </c>
      <c r="E156" s="5" t="s">
        <v>533</v>
      </c>
      <c r="F156" s="11" t="str">
        <f>IFERROR(__xludf.DUMMYFUNCTION("GOOGLETRANSLATE(B156,""en"",""te"")"),"హోటల్ అపూర్వా")</f>
        <v>హోటల్ అపూర్వా</v>
      </c>
      <c r="G156" s="10" t="str">
        <f>IFERROR(__xludf.DUMMYFUNCTION("GOOGLETRANSLATE(B156,""en"",""hi"")"),"होटल अपूर्वा")</f>
        <v>होटल अपूर्वा</v>
      </c>
      <c r="H156" s="10" t="str">
        <f>IFERROR(__xludf.DUMMYFUNCTION("GOOGLETRANSLATE(B156,""en"",""ta"")"),"ஹோட்டல் அபூர்வா")</f>
        <v>ஹோட்டல் அபூர்வா</v>
      </c>
      <c r="I156" s="10" t="str">
        <f>IFERROR(__xludf.DUMMYFUNCTION("GOOGLETRANSLATE(B156,""en"",""kn"")"),"ಹೋಟಲ್‌ ಅಪೂರ್ವಾ")</f>
        <v>ಹೋಟಲ್‌ ಅಪೂರ್ವಾ</v>
      </c>
      <c r="J156" s="10" t="str">
        <f>IFERROR(__xludf.DUMMYFUNCTION("GOOGLETRANSLATE(B156,""en"",""ml"")"),"ഹോട്ടൽ അപൂർവ")</f>
        <v>ഹോട്ടൽ അപൂർവ</v>
      </c>
      <c r="K156" s="12" t="s">
        <v>549</v>
      </c>
      <c r="L156" s="10" t="str">
        <f>IFERROR(__xludf.DUMMYFUNCTION("GOOGLETRANSLATE(K156,""en"",""te"")"),"హోటల్ అపూర్వ సందర్శకులకు దక్షిణ భారత వంటకాలను అందిస్తుంది. భోజన ప్రాంతం సరళంగా మరియు శుభ్రంగా ఉంటుంది. సేవ సరసమైన ధర మరియు వేగంపై దృష్టి పెడుతుంది. ఇది శ్రీశైలం పట్టణంలో ఉంది.")</f>
        <v>హోటల్ అపూర్వ సందర్శకులకు దక్షిణ భారత వంటకాలను అందిస్తుంది. భోజన ప్రాంతం సరళంగా మరియు శుభ్రంగా ఉంటుంది. సేవ సరసమైన ధర మరియు వేగంపై దృష్టి పెడుతుంది. ఇది శ్రీశైలం పట్టణంలో ఉంది.</v>
      </c>
      <c r="M156" s="10" t="str">
        <f>IFERROR(__xludf.DUMMYFUNCTION("GOOGLETRANSLATE(K156,""en"",""hi"")"),"होटल अपूर्वा आगंतुकों के लिए साधारण दक्षिण भारतीय भोजन परोसता है। भोजन कक्ष सरल और स्वच्छ है। सेवा किफायती और त्वरित है। यह श्रीशैलम शहर में स्थित है।")</f>
        <v>होटल अपूर्वा आगंतुकों के लिए साधारण दक्षिण भारतीय भोजन परोसता है। भोजन कक्ष सरल और स्वच्छ है। सेवा किफायती और त्वरित है। यह श्रीशैलम शहर में स्थित है।</v>
      </c>
      <c r="N156" s="10" t="str">
        <f>IFERROR(__xludf.DUMMYFUNCTION("GOOGLETRANSLATE(K156,""en"",""ta"")"),"ஹோட்டல் அபூர்வா, பார்வையாளர்களுக்கு அடிப்படை தென்னிந்திய உணவுகளை வழங்குகிறது. சாப்பாட்டுப் பகுதி எளிமையானது மற்றும் சுத்தமானது. சேவை மலிவு மற்றும் வேகத்தில் கவனம் செலுத்துகிறது. இது ஸ்ரீசைலம் நகரத்திற்குள் அமைந்துள்ளது.")</f>
        <v>ஹோட்டல் அபூர்வா, பார்வையாளர்களுக்கு அடிப்படை தென்னிந்திய உணவுகளை வழங்குகிறது. சாப்பாட்டுப் பகுதி எளிமையானது மற்றும் சுத்தமானது. சேவை மலிவு மற்றும் வேகத்தில் கவனம் செலுத்துகிறது. இது ஸ்ரீசைலம் நகரத்திற்குள் அமைந்துள்ளது.</v>
      </c>
      <c r="O156" s="10" t="str">
        <f>IFERROR(__xludf.DUMMYFUNCTION("GOOGLETRANSLATE(K156,""en"",""kn"")"),"ಹೋಟೆಲ್ ಅಪೂರ್ವ ಪ್ರವಾಸಿಗರಿಗೆ ದಕ್ಷಿಣ ಭಾರತದ ಮೂಲಭೂತ ಊಟಗಳನ್ನು ನೀಡುತ್ತದೆ. ಊಟದ ಪ್ರದೇಶವು ಸರಳ ಮತ್ತು ಸ್ವಚ್ಛವಾಗಿದೆ. ಸೇವೆಯು ಕೈಗೆಟುಕುವ ಮತ್ತು ವೇಗದ ಮೇಲೆ ಕೇಂದ್ರೀಕೃತವಾಗಿದೆ. ಇದು ಶ್ರೀಶೈಲಂ ಪಟ್ಟಣದೊಳಗೆ ಇದೆ.")</f>
        <v>ಹೋಟೆಲ್ ಅಪೂರ್ವ ಪ್ರವಾಸಿಗರಿಗೆ ದಕ್ಷಿಣ ಭಾರತದ ಮೂಲಭೂತ ಊಟಗಳನ್ನು ನೀಡುತ್ತದೆ. ಊಟದ ಪ್ರದೇಶವು ಸರಳ ಮತ್ತು ಸ್ವಚ್ಛವಾಗಿದೆ. ಸೇವೆಯು ಕೈಗೆಟುಕುವ ಮತ್ತು ವೇಗದ ಮೇಲೆ ಕೇಂದ್ರೀಕೃತವಾಗಿದೆ. ಇದು ಶ್ರೀಶೈಲಂ ಪಟ್ಟಣದೊಳಗೆ ಇದೆ.</v>
      </c>
      <c r="P156" s="10" t="str">
        <f>IFERROR(__xludf.DUMMYFUNCTION("GOOGLETRANSLATE(K156,""en"",""ml"")"),"ഹോട്ടൽ അപൂർവ സന്ദർശകർക്ക് അടിസ്ഥാന ദക്ഷിണേന്ത്യൻ ഭക്ഷണങ്ങൾ വാഗ്ദാനം ചെയ്യുന്നു. ഡൈനിംഗ് ഏരിയ ലളിതവും വൃത്തിയുള്ളതുമാണ്. താങ്ങാനാവുന്ന വിലയിലും വേഗതയിലും സേവനം കേന്ദ്രീകരിച്ചിരിക്കുന്നു. ശ്രീശൈലം പട്ടണത്തിലാണ് ഇത് സ്ഥിതി ചെയ്യുന്നത്.")</f>
        <v>ഹോട്ടൽ അപൂർവ സന്ദർശകർക്ക് അടിസ്ഥാന ദക്ഷിണേന്ത്യൻ ഭക്ഷണങ്ങൾ വാഗ്ദാനം ചെയ്യുന്നു. ഡൈനിംഗ് ഏരിയ ലളിതവും വൃത്തിയുള്ളതുമാണ്. താങ്ങാനാവുന്ന വിലയിലും വേഗതയിലും സേവനം കേന്ദ്രീകരിച്ചിരിക്കുന്നു. ശ്രീശൈലം പട്ടണത്തിലാണ് ഇത് സ്ഥിതി ചെയ്യുന്നത്.</v>
      </c>
    </row>
    <row r="157">
      <c r="A157" s="6">
        <f t="shared" si="1"/>
        <v>156</v>
      </c>
      <c r="B157" s="6" t="s">
        <v>550</v>
      </c>
      <c r="C157" s="6">
        <v>16.0725625</v>
      </c>
      <c r="D157" s="6">
        <v>78.8724375</v>
      </c>
      <c r="E157" s="5" t="s">
        <v>533</v>
      </c>
      <c r="F157" s="11" t="str">
        <f>IFERROR(__xludf.DUMMYFUNCTION("GOOGLETRANSLATE(B157,""en"",""te"")"),"హోటల్ సై బాలాజి")</f>
        <v>హోటల్ సై బాలాజి</v>
      </c>
      <c r="G157" s="10" t="str">
        <f>IFERROR(__xludf.DUMMYFUNCTION("GOOGLETRANSLATE(B157,""en"",""hi"")"),"होटल साई बालाजी")</f>
        <v>होटल साई बालाजी</v>
      </c>
      <c r="H157" s="10" t="str">
        <f>IFERROR(__xludf.DUMMYFUNCTION("GOOGLETRANSLATE(B157,""en"",""ta"")"),"ஹோட்டல் சாய் பாலாஜி")</f>
        <v>ஹோட்டல் சாய் பாலாஜி</v>
      </c>
      <c r="I157" s="10" t="str">
        <f>IFERROR(__xludf.DUMMYFUNCTION("GOOGLETRANSLATE(B157,""en"",""kn"")"),"ಹೋಟಲ್‌ ಸೈ ಬಾಲಾಜಿ")</f>
        <v>ಹೋಟಲ್‌ ಸೈ ಬಾಲಾಜಿ</v>
      </c>
      <c r="J157" s="10" t="str">
        <f>IFERROR(__xludf.DUMMYFUNCTION("GOOGLETRANSLATE(B157,""en"",""ml"")"),"ഹോട്ടൽ സൈ ബാലാജി")</f>
        <v>ഹോട്ടൽ സൈ ബാലാജി</v>
      </c>
      <c r="K157" s="12" t="s">
        <v>551</v>
      </c>
      <c r="L157" s="10" t="str">
        <f>IFERROR(__xludf.DUMMYFUNCTION("GOOGLETRANSLATE(K157,""en"",""te"")"),"హోటల్ సాయి బాలాజీ శాఖాహార భోజనం మరియు అల్పాహారం వస్తువులను అందిస్తుంది. రెస్టారెంట్‌లో సీటింగ్ అరేంజ్‌మెంట్ చాలా సులభం.")</f>
        <v>హోటల్ సాయి బాలాజీ శాఖాహార భోజనం మరియు అల్పాహారం వస్తువులను అందిస్తుంది. రెస్టారెంట్‌లో సీటింగ్ అరేంజ్‌మెంట్ చాలా సులభం.</v>
      </c>
      <c r="M157" s="10" t="str">
        <f>IFERROR(__xludf.DUMMYFUNCTION("GOOGLETRANSLATE(K157,""en"",""hi"")"),"होटल साई बालाजी में शाकाहारी भोजन और नाश्ता परोसा जाता है। रेस्टोरेंट में बैठने की व्यवस्था सरल है।")</f>
        <v>होटल साई बालाजी में शाकाहारी भोजन और नाश्ता परोसा जाता है। रेस्टोरेंट में बैठने की व्यवस्था सरल है।</v>
      </c>
      <c r="N157" s="10" t="str">
        <f>IFERROR(__xludf.DUMMYFUNCTION("GOOGLETRANSLATE(K157,""en"",""ta"")"),"ஹோட்டல் சாய் பாலாஜி சைவ உணவுகள் மற்றும் காலை உணவு வகைகளை வழங்குகிறது. உணவகத்தில் எளிமையான இருக்கை ஏற்பாடு உள்ளது.")</f>
        <v>ஹோட்டல் சாய் பாலாஜி சைவ உணவுகள் மற்றும் காலை உணவு வகைகளை வழங்குகிறது. உணவகத்தில் எளிமையான இருக்கை ஏற்பாடு உள்ளது.</v>
      </c>
      <c r="O157" s="10" t="str">
        <f>IFERROR(__xludf.DUMMYFUNCTION("GOOGLETRANSLATE(K157,""en"",""kn"")"),"ಹೋಟೆಲ್ ಸಾಯಿ ಬಾಲಾಜಿ ಸಸ್ಯಾಹಾರಿ ಊಟ ಮತ್ತು ಉಪಾಹಾರವನ್ನು ಒದಗಿಸುತ್ತದೆ. ರೆಸ್ಟೋರೆಂಟ್ ಸರಳವಾದ ಆಸನ ವ್ಯವಸ್ಥೆಯನ್ನು ಹೊಂದಿದೆ.")</f>
        <v>ಹೋಟೆಲ್ ಸಾಯಿ ಬಾಲಾಜಿ ಸಸ್ಯಾಹಾರಿ ಊಟ ಮತ್ತು ಉಪಾಹಾರವನ್ನು ಒದಗಿಸುತ್ತದೆ. ರೆಸ್ಟೋರೆಂಟ್ ಸರಳವಾದ ಆಸನ ವ್ಯವಸ್ಥೆಯನ್ನು ಹೊಂದಿದೆ.</v>
      </c>
      <c r="P157" s="10" t="str">
        <f>IFERROR(__xludf.DUMMYFUNCTION("GOOGLETRANSLATE(K157,""en"",""ml"")"),"ഹോട്ടൽ സായ് ബാലാജി വെജിറ്റേറിയൻ ഭക്ഷണവും പ്രഭാതഭക്ഷണവും വിളമ്പുന്നു. റസ്റ്റോറന്റിൽ ലളിതമായ ഇരിപ്പിട ക്രമീകരണമുണ്ട്.")</f>
        <v>ഹോട്ടൽ സായ് ബാലാജി വെജിറ്റേറിയൻ ഭക്ഷണവും പ്രഭാതഭക്ഷണവും വിളമ്പുന്നു. റസ്റ്റോറന്റിൽ ലളിതമായ ഇരിപ്പിട ക്രമീകരണമുണ്ട്.</v>
      </c>
    </row>
    <row r="158">
      <c r="A158" s="6">
        <f t="shared" si="1"/>
        <v>157</v>
      </c>
      <c r="B158" s="6" t="s">
        <v>552</v>
      </c>
      <c r="C158" s="6">
        <v>16.0719775</v>
      </c>
      <c r="D158" s="6">
        <v>78.8723502</v>
      </c>
      <c r="E158" s="5" t="s">
        <v>533</v>
      </c>
      <c r="F158" s="8" t="s">
        <v>553</v>
      </c>
      <c r="G158" s="8" t="s">
        <v>554</v>
      </c>
      <c r="H158" s="10" t="str">
        <f>IFERROR(__xludf.DUMMYFUNCTION("GOOGLETRANSLATE(B158,""en"",""ta"")"),"ஹோட்டல் இலபுரம்")</f>
        <v>ஹோட்டல் இலபுரம்</v>
      </c>
      <c r="I158" s="10" t="str">
        <f>IFERROR(__xludf.DUMMYFUNCTION("GOOGLETRANSLATE(B158,""en"",""kn"")"),"ಹೋಟಲ್‌ ಇಲಾಪುರಮ್")</f>
        <v>ಹೋಟಲ್‌ ಇಲಾಪುರಮ್</v>
      </c>
      <c r="J158" s="10" t="str">
        <f>IFERROR(__xludf.DUMMYFUNCTION("GOOGLETRANSLATE(B158,""en"",""ml"")"),"ഹോട്ടൽ ഇലപുരം")</f>
        <v>ഹോട്ടൽ ഇലപുരം</v>
      </c>
      <c r="K158" s="12" t="s">
        <v>555</v>
      </c>
      <c r="L158" s="10" t="str">
        <f>IFERROR(__xludf.DUMMYFUNCTION("GOOGLETRANSLATE(K158,""en"",""te"")"),"హోటల్ ఇలాపురం సాధారణ శాఖాహార ఆహార ఎంపికలను అందిస్తుంది. రద్దీ సమయాల్లో స్థిరమైన సేవలకు ఈ రెస్టారెంట్ ప్రసిద్ధి చెందింది. భోజనం సరళమైనది మరియు కడుపు నింపేది. ఇది బస సౌకర్యాలకు సమీపంలో ఉంది.")</f>
        <v>హోటల్ ఇలాపురం సాధారణ శాఖాహార ఆహార ఎంపికలను అందిస్తుంది. రద్దీ సమయాల్లో స్థిరమైన సేవలకు ఈ రెస్టారెంట్ ప్రసిద్ధి చెందింది. భోజనం సరళమైనది మరియు కడుపు నింపేది. ఇది బస సౌకర్యాలకు సమీపంలో ఉంది.</v>
      </c>
      <c r="M158" s="10" t="str">
        <f>IFERROR(__xludf.DUMMYFUNCTION("GOOGLETRANSLATE(K158,""en"",""hi"")"),"होटल इलापुरम में नियमित रूप से शाकाहारी भोजन उपलब्ध है। व्यस्त समय में भी रेस्टोरेंट अपनी बेहतरीन सेवा के लिए प्रसिद्ध है। यहाँ का भोजन सादा और पेट भरने वाला होता है। यह होटल ठहरने की सुविधाओं के नज़दीक स्थित है।")</f>
        <v>होटल इलापुरम में नियमित रूप से शाकाहारी भोजन उपलब्ध है। व्यस्त समय में भी रेस्टोरेंट अपनी बेहतरीन सेवा के लिए प्रसिद्ध है। यहाँ का भोजन सादा और पेट भरने वाला होता है। यह होटल ठहरने की सुविधाओं के नज़दीक स्थित है।</v>
      </c>
      <c r="N158" s="10" t="str">
        <f>IFERROR(__xludf.DUMMYFUNCTION("GOOGLETRANSLATE(K158,""en"",""ta"")"),"ஹோட்டல் இலபுரம் வழக்கமான சைவ உணவு விருப்பங்களை வழங்குகிறது. பரபரப்பான நேரங்களில் நிலையான சேவைக்கு இந்த உணவகம் பெயர் பெற்றது. உணவு எளிமையானது மற்றும் திருப்திகரமானது. இது தங்குமிட வசதிகளுக்கு அருகில் அமைந்துள்ளது.")</f>
        <v>ஹோட்டல் இலபுரம் வழக்கமான சைவ உணவு விருப்பங்களை வழங்குகிறது. பரபரப்பான நேரங்களில் நிலையான சேவைக்கு இந்த உணவகம் பெயர் பெற்றது. உணவு எளிமையானது மற்றும் திருப்திகரமானது. இது தங்குமிட வசதிகளுக்கு அருகில் அமைந்துள்ளது.</v>
      </c>
      <c r="O158" s="10" t="str">
        <f>IFERROR(__xludf.DUMMYFUNCTION("GOOGLETRANSLATE(K158,""en"",""kn"")"),"ಹೋಟೆಲ್ ಇಲಾಪುರಂ ನಿಯಮಿತ ಸಸ್ಯಾಹಾರಿ ಆಹಾರ ಆಯ್ಕೆಗಳನ್ನು ಒದಗಿಸುತ್ತದೆ. ದಟ್ಟಣೆಯ ಸಮಯದಲ್ಲಿ ಸ್ಥಿರ ಸೇವೆಗೆ ರೆಸ್ಟೋರೆಂಟ್ ಹೆಸರುವಾಸಿಯಾಗಿದೆ. ಊಟ ಸರಳ ಮತ್ತು ಹೊಟ್ಟೆ ತುಂಬಿಸುವಂತಿದೆ. ಇದು ವಸತಿ ಸೌಕರ್ಯಗಳ ಬಳಿ ಇದೆ.")</f>
        <v>ಹೋಟೆಲ್ ಇಲಾಪುರಂ ನಿಯಮಿತ ಸಸ್ಯಾಹಾರಿ ಆಹಾರ ಆಯ್ಕೆಗಳನ್ನು ಒದಗಿಸುತ್ತದೆ. ದಟ್ಟಣೆಯ ಸಮಯದಲ್ಲಿ ಸ್ಥಿರ ಸೇವೆಗೆ ರೆಸ್ಟೋರೆಂಟ್ ಹೆಸರುವಾಸಿಯಾಗಿದೆ. ಊಟ ಸರಳ ಮತ್ತು ಹೊಟ್ಟೆ ತುಂಬಿಸುವಂತಿದೆ. ಇದು ವಸತಿ ಸೌಕರ್ಯಗಳ ಬಳಿ ಇದೆ.</v>
      </c>
      <c r="P158" s="10" t="str">
        <f>IFERROR(__xludf.DUMMYFUNCTION("GOOGLETRANSLATE(K158,""en"",""ml"")"),"ഹോട്ടൽ ഇലപുരം പതിവ് വെജിറ്റേറിയൻ ഭക്ഷണ ഓപ്ഷനുകൾ വാഗ്ദാനം ചെയ്യുന്നു. തിരക്കേറിയ സമയങ്ങളിൽ സ്ഥിരമായ സേവനത്തിന് റസ്റ്റോറന്റ് അറിയപ്പെടുന്നു. ഭക്ഷണം ലളിതവും തൃപ്‌തികരവുമാണ്. താമസ സൗകര്യങ്ങൾക്ക് സമീപമാണ് ഇത് സ്ഥിതി ചെയ്യുന്നത്.")</f>
        <v>ഹോട്ടൽ ഇലപുരം പതിവ് വെജിറ്റേറിയൻ ഭക്ഷണ ഓപ്ഷനുകൾ വാഗ്ദാനം ചെയ്യുന്നു. തിരക്കേറിയ സമയങ്ങളിൽ സ്ഥിരമായ സേവനത്തിന് റസ്റ്റോറന്റ് അറിയപ്പെടുന്നു. ഭക്ഷണം ലളിതവും തൃപ്‌തികരവുമാണ്. താമസ സൗകര്യങ്ങൾക്ക് സമീപമാണ് ഇത് സ്ഥിതി ചെയ്യുന്നത്.</v>
      </c>
    </row>
    <row r="159">
      <c r="A159" s="6">
        <f t="shared" si="1"/>
        <v>158</v>
      </c>
      <c r="B159" s="6" t="s">
        <v>556</v>
      </c>
      <c r="C159" s="6">
        <v>16.0736148</v>
      </c>
      <c r="D159" s="6">
        <v>78.8744294</v>
      </c>
      <c r="E159" s="5" t="s">
        <v>533</v>
      </c>
      <c r="F159" s="11" t="str">
        <f>IFERROR(__xludf.DUMMYFUNCTION("GOOGLETRANSLATE(B159,""en"",""te"")"),"హోటల్ కృష్ణవేణి దర్శన్")</f>
        <v>హోటల్ కృష్ణవేణి దర్శన్</v>
      </c>
      <c r="G159" s="10" t="str">
        <f>IFERROR(__xludf.DUMMYFUNCTION("GOOGLETRANSLATE(B159,""en"",""hi"")"),"होटल कृष्णावेनी दर्शन")</f>
        <v>होटल कृष्णावेनी दर्शन</v>
      </c>
      <c r="H159" s="10" t="str">
        <f>IFERROR(__xludf.DUMMYFUNCTION("GOOGLETRANSLATE(B159,""en"",""ta"")"),"ஹோட்டல் கிருஷ்ணவேணி தரிசனம்")</f>
        <v>ஹோட்டல் கிருஷ்ணவேணி தரிசனம்</v>
      </c>
      <c r="I159" s="10" t="str">
        <f>IFERROR(__xludf.DUMMYFUNCTION("GOOGLETRANSLATE(B159,""en"",""kn"")"),"ಹೋಟಲ್‌ ಕೃಷ್ಣವೇಣಿ ದರ್ಶನ್")</f>
        <v>ಹೋಟಲ್‌ ಕೃಷ್ಣವೇಣಿ ದರ್ಶನ್</v>
      </c>
      <c r="J159" s="10" t="str">
        <f>IFERROR(__xludf.DUMMYFUNCTION("GOOGLETRANSLATE(B159,""en"",""ml"")"),"ഹോട്ടൽ കൃഷ്ണവേണി ദർശൻ")</f>
        <v>ഹോട്ടൽ കൃഷ്ണവേണി ദർശൻ</v>
      </c>
      <c r="K159" s="12" t="s">
        <v>557</v>
      </c>
      <c r="L159" s="10" t="str">
        <f>IFERROR(__xludf.DUMMYFUNCTION("GOOGLETRANSLATE(K159,""en"",""te"")"),"హోటల్ కృష్ణవేణి దర్శన్ హోటల్ ప్రాంగణానికి అనుబంధంగా ఒక రెస్టారెంట్ ఉంది. ఇది అతిథులకు మరియు వాక్-ఇన్ సందర్శకులకు రోజువారీ భోజనాన్ని అందిస్తుంది. మెనూలో ప్రధానంగా దక్షిణ భారత వంటకాలు ఉంటాయి.")</f>
        <v>హోటల్ కృష్ణవేణి దర్శన్ హోటల్ ప్రాంగణానికి అనుబంధంగా ఒక రెస్టారెంట్ ఉంది. ఇది అతిథులకు మరియు వాక్-ఇన్ సందర్శకులకు రోజువారీ భోజనాన్ని అందిస్తుంది. మెనూలో ప్రధానంగా దక్షిణ భారత వంటకాలు ఉంటాయి.</v>
      </c>
      <c r="M159" s="10" t="str">
        <f>IFERROR(__xludf.DUMMYFUNCTION("GOOGLETRANSLATE(K159,""en"",""hi"")"),"होटल कृष्णावेनी दर्शन में होटल परिसर से लगा हुआ एक रेस्तरां है। यह होटल में ठहरने वाले मेहमानों और आने-जाने वाले आगंतुकों के लिए प्रतिदिन भोजन परोसता है। मेनू में मुख्य रूप से दक्षिण भारतीय व्यंजन शामिल हैं।")</f>
        <v>होटल कृष्णावेनी दर्शन में होटल परिसर से लगा हुआ एक रेस्तरां है। यह होटल में ठहरने वाले मेहमानों और आने-जाने वाले आगंतुकों के लिए प्रतिदिन भोजन परोसता है। मेनू में मुख्य रूप से दक्षिण भारतीय व्यंजन शामिल हैं।</v>
      </c>
      <c r="N159" s="10" t="str">
        <f>IFERROR(__xludf.DUMMYFUNCTION("GOOGLETRANSLATE(K159,""en"",""ta"")"),"ஹோட்டல் கிருஷ்ணவேணி தர்ஷன் ஹோட்டல் வளாகத்துடன் இணைக்கப்பட்ட ஒரு உணவகத்தைக் கொண்டுள்ளது. இது விருந்தினர்களுக்கும், உள்ளே வரும் பார்வையாளர்களுக்கும் தினசரி உணவை வழங்குகிறது. மெனுவில் முக்கியமாக தென்னிந்திய உணவுகள் அடங்கும்.")</f>
        <v>ஹோட்டல் கிருஷ்ணவேணி தர்ஷன் ஹோட்டல் வளாகத்துடன் இணைக்கப்பட்ட ஒரு உணவகத்தைக் கொண்டுள்ளது. இது விருந்தினர்களுக்கும், உள்ளே வரும் பார்வையாளர்களுக்கும் தினசரி உணவை வழங்குகிறது. மெனுவில் முக்கியமாக தென்னிந்திய உணவுகள் அடங்கும்.</v>
      </c>
      <c r="O159" s="10" t="str">
        <f>IFERROR(__xludf.DUMMYFUNCTION("GOOGLETRANSLATE(K159,""en"",""kn"")"),"ಹೋಟೆಲ್ ಕೃಷ್ಣವೇಣಿ ದರ್ಶನ್ ಹೋಟೆಲ್ ಆವರಣಕ್ಕೆ ಹೊಂದಿಕೊಂಡಂತೆ ಒಂದು ರೆಸ್ಟೋರೆಂಟ್ ಹೊಂದಿದೆ. ಇದು ಅತಿಥಿಗಳು ಮತ್ತು ವಾಕ್-ಇನ್ ಸಂದರ್ಶಕರಿಗೆ ದೈನಂದಿನ ಊಟವನ್ನು ಒದಗಿಸುತ್ತದೆ. ಮೆನುವಿನಲ್ಲಿ ಮುಖ್ಯವಾಗಿ ದಕ್ಷಿಣ ಭಾರತೀಯ ಭಕ್ಷ್ಯಗಳು ಸೇರಿವೆ.")</f>
        <v>ಹೋಟೆಲ್ ಕೃಷ್ಣವೇಣಿ ದರ್ಶನ್ ಹೋಟೆಲ್ ಆವರಣಕ್ಕೆ ಹೊಂದಿಕೊಂಡಂತೆ ಒಂದು ರೆಸ್ಟೋರೆಂಟ್ ಹೊಂದಿದೆ. ಇದು ಅತಿಥಿಗಳು ಮತ್ತು ವಾಕ್-ಇನ್ ಸಂದರ್ಶಕರಿಗೆ ದೈನಂದಿನ ಊಟವನ್ನು ಒದಗಿಸುತ್ತದೆ. ಮೆನುವಿನಲ್ಲಿ ಮುಖ್ಯವಾಗಿ ದಕ್ಷಿಣ ಭಾರತೀಯ ಭಕ್ಷ್ಯಗಳು ಸೇರಿವೆ.</v>
      </c>
      <c r="P159" s="10" t="str">
        <f>IFERROR(__xludf.DUMMYFUNCTION("GOOGLETRANSLATE(K159,""en"",""ml"")"),"ഹോട്ടൽ കൃഷ്ണവേണി ദർശൻ ഹോട്ടൽ പരിസരത്തോട് ചേർന്നുള്ള ഒരു റെസ്റ്റോറന്റ് പ്രവർത്തിക്കുന്നു. അതിഥികൾക്കും വാക്ക്-ഇൻ സന്ദർശകർക്കും ദിവസേന ഭക്ഷണം വിളമ്പുന്നു. മെനുവിൽ പ്രധാനമായും ദക്ഷിണേന്ത്യൻ വിഭവങ്ങൾ ഉൾപ്പെടുന്നു.")</f>
        <v>ഹോട്ടൽ കൃഷ്ണവേണി ദർശൻ ഹോട്ടൽ പരിസരത്തോട് ചേർന്നുള്ള ഒരു റെസ്റ്റോറന്റ് പ്രവർത്തിക്കുന്നു. അതിഥികൾക്കും വാക്ക്-ഇൻ സന്ദർശകർക്കും ദിവസേന ഭക്ഷണം വിളമ്പുന്നു. മെനുവിൽ പ്രധാനമായും ദക്ഷിണേന്ത്യൻ വിഭവങ്ങൾ ഉൾപ്പെടുന്നു.</v>
      </c>
    </row>
    <row r="160">
      <c r="A160" s="6">
        <f t="shared" si="1"/>
        <v>159</v>
      </c>
      <c r="B160" s="6" t="s">
        <v>558</v>
      </c>
      <c r="C160" s="6">
        <v>16.0722701</v>
      </c>
      <c r="D160" s="6">
        <v>78.8727628</v>
      </c>
      <c r="E160" s="5" t="s">
        <v>533</v>
      </c>
      <c r="F160" s="11" t="str">
        <f>IFERROR(__xludf.DUMMYFUNCTION("GOOGLETRANSLATE(B160,""en"",""te"")"),"హోటల్‌ సై రాఘవేంద్ర")</f>
        <v>హోటల్‌ సై రాఘవేంద్ర</v>
      </c>
      <c r="G160" s="10" t="str">
        <f>IFERROR(__xludf.DUMMYFUNCTION("GOOGLETRANSLATE(B160,""en"",""hi"")"),"होटल साई राघवेंद्र")</f>
        <v>होटल साई राघवेंद्र</v>
      </c>
      <c r="H160" s="10" t="str">
        <f>IFERROR(__xludf.DUMMYFUNCTION("GOOGLETRANSLATE(B160,""en"",""ta"")"),"ஹோட்டல் சை ராகவெந்திர")</f>
        <v>ஹோட்டல் சை ராகவெந்திர</v>
      </c>
      <c r="I160" s="10" t="str">
        <f>IFERROR(__xludf.DUMMYFUNCTION("GOOGLETRANSLATE(B160,""en"",""kn"")"),"ಹೋಟಲ್‌ ಸೈ ರಾಘವೆಂದ್ರ")</f>
        <v>ಹೋಟಲ್‌ ಸೈ ರಾಘವೆಂದ್ರ</v>
      </c>
      <c r="J160" s="10" t="str">
        <f>IFERROR(__xludf.DUMMYFUNCTION("GOOGLETRANSLATE(B160,""en"",""ml"")"),"ഹോട്ടൽ സൈ രാഘവെംദ്ര")</f>
        <v>ഹോട്ടൽ സൈ രാഘവെംദ്ര</v>
      </c>
      <c r="K160" s="12" t="s">
        <v>559</v>
      </c>
      <c r="L160" s="10" t="str">
        <f>IFERROR(__xludf.DUMMYFUNCTION("GOOGLETRANSLATE(K160,""en"",""te"")"),"హోటల్ సాయి రాఘవేంద్ర యాత్రికులకు అనువైన శాఖాహార భోజనాన్ని అందిస్తుంది. భోజన ప్రాంతం నిరాడంబరంగా మరియు శుభ్రంగా ఉంటుంది. సేవ సాధారణ భోజనం తయారీపై దృష్టి పెడుతుంది.")</f>
        <v>హోటల్ సాయి రాఘవేంద్ర యాత్రికులకు అనువైన శాఖాహార భోజనాన్ని అందిస్తుంది. భోజన ప్రాంతం నిరాడంబరంగా మరియు శుభ్రంగా ఉంటుంది. సేవ సాధారణ భోజనం తయారీపై దృష్టి పెడుతుంది.</v>
      </c>
      <c r="M160" s="10" t="str">
        <f>IFERROR(__xludf.DUMMYFUNCTION("GOOGLETRANSLATE(K160,""en"",""hi"")"),"होटल साई राघवेंद्र तीर्थयात्रियों के लिए उपयुक्त शाकाहारी भोजन प्रदान करता है। भोजन कक्ष सादा और स्वच्छ है। सेवा नियमित भोजन तैयार करने पर केंद्रित है।")</f>
        <v>होटल साई राघवेंद्र तीर्थयात्रियों के लिए उपयुक्त शाकाहारी भोजन प्रदान करता है। भोजन कक्ष सादा और स्वच्छ है। सेवा नियमित भोजन तैयार करने पर केंद्रित है।</v>
      </c>
      <c r="N160" s="10" t="str">
        <f>IFERROR(__xludf.DUMMYFUNCTION("GOOGLETRANSLATE(K160,""en"",""ta"")"),"ஹோட்டல் சாய் ராகவேந்திரா யாத்ரீகர்களுக்கு ஏற்ற சைவ உணவுகளை வழங்குகிறது. உணவருந்தும் பகுதி எளிமையானது மற்றும் சுத்தமானது. சேவை வழக்கமான உணவு தயாரிப்பில் கவனம் செலுத்துகிறது.")</f>
        <v>ஹோட்டல் சாய் ராகவேந்திரா யாத்ரீகர்களுக்கு ஏற்ற சைவ உணவுகளை வழங்குகிறது. உணவருந்தும் பகுதி எளிமையானது மற்றும் சுத்தமானது. சேவை வழக்கமான உணவு தயாரிப்பில் கவனம் செலுத்துகிறது.</v>
      </c>
      <c r="O160" s="10" t="str">
        <f>IFERROR(__xludf.DUMMYFUNCTION("GOOGLETRANSLATE(K160,""en"",""kn"")"),"ಹೋಟೆಲ್ ಸಾಯಿ ರಾಘವೇಂದ್ರ ಯಾತ್ರಿಕರಿಗೆ ಸೂಕ್ತವಾದ ಸಸ್ಯಾಹಾರಿ ಊಟವನ್ನು ನೀಡುತ್ತದೆ. ಊಟದ ಪ್ರದೇಶವು ಸಾಧಾರಣ ಮತ್ತು ಸ್ವಚ್ಛವಾಗಿದೆ. ಸೇವೆಯು ನಿಯಮಿತ ಊಟ ತಯಾರಿಕೆಯ ಮೇಲೆ ಕೇಂದ್ರೀಕೃತವಾಗಿದೆ.")</f>
        <v>ಹೋಟೆಲ್ ಸಾಯಿ ರಾಘವೇಂದ್ರ ಯಾತ್ರಿಕರಿಗೆ ಸೂಕ್ತವಾದ ಸಸ್ಯಾಹಾರಿ ಊಟವನ್ನು ನೀಡುತ್ತದೆ. ಊಟದ ಪ್ರದೇಶವು ಸಾಧಾರಣ ಮತ್ತು ಸ್ವಚ್ಛವಾಗಿದೆ. ಸೇವೆಯು ನಿಯಮಿತ ಊಟ ತಯಾರಿಕೆಯ ಮೇಲೆ ಕೇಂದ್ರೀಕೃತವಾಗಿದೆ.</v>
      </c>
      <c r="P160" s="10" t="str">
        <f>IFERROR(__xludf.DUMMYFUNCTION("GOOGLETRANSLATE(K160,""en"",""ml"")"),"ഹോട്ടൽ സായ് രാഘവേന്ദ്ര തീർത്ഥാടകർക്ക് അനുയോജ്യമായ സസ്യാഹാരം വാഗ്ദാനം ചെയ്യുന്നു. ഡൈനിംഗ് ഏരിയ എളിമയുള്ളതും വൃത്തിയുള്ളതുമാണ്. പതിവ് ഭക്ഷണം തയ്യാറാക്കുന്നതിലാണ് സേവനം കേന്ദ്രീകരിച്ചിരിക്കുന്നത്.")</f>
        <v>ഹോട്ടൽ സായ് രാഘവേന്ദ്ര തീർത്ഥാടകർക്ക് അനുയോജ്യമായ സസ്യാഹാരം വാഗ്ദാനം ചെയ്യുന്നു. ഡൈനിംഗ് ഏരിയ എളിമയുള്ളതും വൃത്തിയുള്ളതുമാണ്. പതിവ് ഭക്ഷണം തയ്യാറാക്കുന്നതിലാണ് സേവനം കേന്ദ്രീകരിച്ചിരിക്കുന്നത്.</v>
      </c>
    </row>
    <row r="161">
      <c r="A161" s="6">
        <f t="shared" si="1"/>
        <v>160</v>
      </c>
      <c r="B161" s="6" t="s">
        <v>560</v>
      </c>
      <c r="C161" s="6">
        <v>16.0855864</v>
      </c>
      <c r="D161" s="6">
        <v>78.8997262</v>
      </c>
      <c r="E161" s="5" t="s">
        <v>533</v>
      </c>
      <c r="F161" s="11" t="str">
        <f>IFERROR(__xludf.DUMMYFUNCTION("GOOGLETRANSLATE(B161,""en"",""te"")"),"ఎలియా హోటల్")</f>
        <v>ఎలియా హోటల్</v>
      </c>
      <c r="G161" s="10" t="str">
        <f>IFERROR(__xludf.DUMMYFUNCTION("GOOGLETRANSLATE(B161,""en"",""hi"")"),"एलिया होटल")</f>
        <v>एलिया होटल</v>
      </c>
      <c r="H161" s="10" t="str">
        <f>IFERROR(__xludf.DUMMYFUNCTION("GOOGLETRANSLATE(B161,""en"",""ta"")"),"எலியா ஹோட்டல்")</f>
        <v>எலியா ஹோட்டல்</v>
      </c>
      <c r="I161" s="10" t="str">
        <f>IFERROR(__xludf.DUMMYFUNCTION("GOOGLETRANSLATE(B161,""en"",""kn"")"),"ಎಲಿಯಾ ಹೋಟಲ್‌")</f>
        <v>ಎಲಿಯಾ ಹೋಟಲ್‌</v>
      </c>
      <c r="J161" s="10" t="str">
        <f>IFERROR(__xludf.DUMMYFUNCTION("GOOGLETRANSLATE(B161,""en"",""ml"")"),"എലിയ ഹോട്ടൽ")</f>
        <v>എലിയ ഹോട്ടൽ</v>
      </c>
      <c r="K161" s="12" t="s">
        <v>561</v>
      </c>
      <c r="L161" s="10" t="str">
        <f>IFERROR(__xludf.DUMMYFUNCTION("GOOGLETRANSLATE(K161,""en"",""te"")"),"ఎలియా హోటల్ అనేది ప్రాథమిక శాఖాహార భోజనాలను అందించే ఒక చిన్న తినుబండారం. ఆహారం సరళమైనది మరియు తాజాగా తయారుచేయబడింది. సీటింగ్ పరిమితం. ఇది త్వరిత భోజనానికి అనుకూలంగా ఉంటుంది.")</f>
        <v>ఎలియా హోటల్ అనేది ప్రాథమిక శాఖాహార భోజనాలను అందించే ఒక చిన్న తినుబండారం. ఆహారం సరళమైనది మరియు తాజాగా తయారుచేయబడింది. సీటింగ్ పరిమితం. ఇది త్వరిత భోజనానికి అనుకూలంగా ఉంటుంది.</v>
      </c>
      <c r="M161" s="10" t="str">
        <f>IFERROR(__xludf.DUMMYFUNCTION("GOOGLETRANSLATE(K161,""en"",""hi"")"),"एलिया होटल एक छोटा सा भोजनालय है जहाँ साधारण शाकाहारी भोजन परोसा जाता है। खाना सादा और ताज़ा तैयार किया जाता है। बैठने की जगह सीमित है। यह जल्दी भोजन करने के लिए उपयुक्त है।")</f>
        <v>एलिया होटल एक छोटा सा भोजनालय है जहाँ साधारण शाकाहारी भोजन परोसा जाता है। खाना सादा और ताज़ा तैयार किया जाता है। बैठने की जगह सीमित है। यह जल्दी भोजन करने के लिए उपयुक्त है।</v>
      </c>
      <c r="N161" s="10" t="str">
        <f>IFERROR(__xludf.DUMMYFUNCTION("GOOGLETRANSLATE(K161,""en"",""ta"")"),"எலியா ஹோட்டல் என்பது அடிப்படை சைவ உணவுகளை வழங்கும் ஒரு சிறிய உணவகம். உணவு எளிமையானது மற்றும் புதிதாக தயாரிக்கப்பட்டது. இருக்கைகள் குறைவாகவே உள்ளன. இது விரைவான உணவிற்கு ஏற்றது.")</f>
        <v>எலியா ஹோட்டல் என்பது அடிப்படை சைவ உணவுகளை வழங்கும் ஒரு சிறிய உணவகம். உணவு எளிமையானது மற்றும் புதிதாக தயாரிக்கப்பட்டது. இருக்கைகள் குறைவாகவே உள்ளன. இது விரைவான உணவிற்கு ஏற்றது.</v>
      </c>
      <c r="O161" s="10" t="str">
        <f>IFERROR(__xludf.DUMMYFUNCTION("GOOGLETRANSLATE(K161,""en"",""kn"")"),"ಎಲಿಯಾ ಹೋಟೆಲ್ ಒಂದು ಸಣ್ಣ ಉಪಾಹಾರ ಗೃಹವಾಗಿದ್ದು, ಇದು ಮೂಲ ಸಸ್ಯಾಹಾರಿ ಊಟಗಳನ್ನು ಒದಗಿಸುತ್ತದೆ. ಆಹಾರ ಸರಳ ಮತ್ತು ಹೊಸದಾಗಿ ತಯಾರಿಸಲ್ಪಟ್ಟಿದೆ. ಆಸನಗಳು ಸೀಮಿತವಾಗಿವೆ. ಇದು ತ್ವರಿತ ಊಟಕ್ಕೆ ಸೂಕ್ತವಾಗಿದೆ.")</f>
        <v>ಎಲಿಯಾ ಹೋಟೆಲ್ ಒಂದು ಸಣ್ಣ ಉಪಾಹಾರ ಗೃಹವಾಗಿದ್ದು, ಇದು ಮೂಲ ಸಸ್ಯಾಹಾರಿ ಊಟಗಳನ್ನು ಒದಗಿಸುತ್ತದೆ. ಆಹಾರ ಸರಳ ಮತ್ತು ಹೊಸದಾಗಿ ತಯಾರಿಸಲ್ಪಟ್ಟಿದೆ. ಆಸನಗಳು ಸೀಮಿತವಾಗಿವೆ. ಇದು ತ್ವರಿತ ಊಟಕ್ಕೆ ಸೂಕ್ತವಾಗಿದೆ.</v>
      </c>
      <c r="P161" s="10" t="str">
        <f>IFERROR(__xludf.DUMMYFUNCTION("GOOGLETRANSLATE(K161,""en"",""ml"")"),"എലിയ ഹോട്ടൽ അടിസ്ഥാന സസ്യാഹാരങ്ങൾ വിളമ്പുന്ന ഒരു ചെറിയ ഭക്ഷണശാലയാണ്. ഭക്ഷണം ലളിതവും പുതുതായി തയ്യാറാക്കിയതുമാണ്. ഇരിപ്പിടങ്ങൾ പരിമിതമാണ്. പെട്ടെന്നുള്ള ഭക്ഷണത്തിന് അനുയോജ്യമാണ്.")</f>
        <v>എലിയ ഹോട്ടൽ അടിസ്ഥാന സസ്യാഹാരങ്ങൾ വിളമ്പുന്ന ഒരു ചെറിയ ഭക്ഷണശാലയാണ്. ഭക്ഷണം ലളിതവും പുതുതായി തയ്യാറാക്കിയതുമാണ്. ഇരിപ്പിടങ്ങൾ പരിമിതമാണ്. പെട്ടെന്നുള്ള ഭക്ഷണത്തിന് അനുയോജ്യമാണ്.</v>
      </c>
    </row>
    <row r="162">
      <c r="A162" s="6">
        <f t="shared" si="1"/>
        <v>161</v>
      </c>
      <c r="B162" s="6" t="s">
        <v>562</v>
      </c>
      <c r="C162" s="6">
        <v>16.0739125</v>
      </c>
      <c r="D162" s="6">
        <v>78.8686516</v>
      </c>
      <c r="E162" s="5" t="s">
        <v>533</v>
      </c>
      <c r="F162" s="8" t="s">
        <v>563</v>
      </c>
      <c r="G162" s="8" t="s">
        <v>564</v>
      </c>
      <c r="H162" s="8" t="s">
        <v>565</v>
      </c>
      <c r="I162" s="8" t="s">
        <v>566</v>
      </c>
      <c r="J162" s="8" t="s">
        <v>567</v>
      </c>
      <c r="K162" s="12" t="s">
        <v>568</v>
      </c>
      <c r="L162" s="10" t="str">
        <f>IFERROR(__xludf.DUMMYFUNCTION("GOOGLETRANSLATE(K162,""en"",""te"")"),"శ్రీశైల్ స్థానిక శైలి శాఖాహార ఆహారాన్ని అందిస్తుంది. ఈ రెస్టారెంట్ సాధారణ భోజన ఎంపికలపై దృష్టి పెడుతుంది. దీనిని ఆలయ సందర్శకులు తరచుగా సందర్శిస్తారు.")</f>
        <v>శ్రీశైల్ స్థానిక శైలి శాఖాహార ఆహారాన్ని అందిస్తుంది. ఈ రెస్టారెంట్ సాధారణ భోజన ఎంపికలపై దృష్టి పెడుతుంది. దీనిని ఆలయ సందర్శకులు తరచుగా సందర్శిస్తారు.</v>
      </c>
      <c r="M162" s="10" t="str">
        <f>IFERROR(__xludf.DUMMYFUNCTION("GOOGLETRANSLATE(K162,""en"",""hi"")"),"श्रीशैल में स्थानीय शैली का शाकाहारी भोजन परोसा जाता है। यह रेस्तरां साधारण भोजन विकल्पों पर ध्यान केंद्रित करता है। यहाँ अक्सर मंदिर के श्रद्धालु आते हैं।")</f>
        <v>श्रीशैल में स्थानीय शैली का शाकाहारी भोजन परोसा जाता है। यह रेस्तरां साधारण भोजन विकल्पों पर ध्यान केंद्रित करता है। यहाँ अक्सर मंदिर के श्रद्धालु आते हैं।</v>
      </c>
      <c r="N162" s="10" t="str">
        <f>IFERROR(__xludf.DUMMYFUNCTION("GOOGLETRANSLATE(K162,""en"",""ta"")"),"ஸ்ரீஷைல் உள்ளூர் பாணி சைவ உணவை வழங்குகிறது. இந்த உணவகம் எளிய உணவு விருப்பங்களில் கவனம் செலுத்துகிறது. கோயில் பார்வையாளர்கள் அடிக்கடி இங்கு வருகிறார்கள்.")</f>
        <v>ஸ்ரீஷைல் உள்ளூர் பாணி சைவ உணவை வழங்குகிறது. இந்த உணவகம் எளிய உணவு விருப்பங்களில் கவனம் செலுத்துகிறது. கோயில் பார்வையாளர்கள் அடிக்கடி இங்கு வருகிறார்கள்.</v>
      </c>
      <c r="O162" s="10" t="str">
        <f>IFERROR(__xludf.DUMMYFUNCTION("GOOGLETRANSLATE(K162,""en"",""kn"")"),"ಶ್ರೀಶೈಲ್ ಸ್ಥಳೀಯ ಶೈಲಿಯ ಸಸ್ಯಾಹಾರಿ ಆಹಾರವನ್ನು ಒದಗಿಸುತ್ತದೆ. ಈ ರೆಸ್ಟೋರೆಂಟ್ ಸರಳ ಊಟದ ಆಯ್ಕೆಗಳ ಮೇಲೆ ಕೇಂದ್ರೀಕರಿಸುತ್ತದೆ. ದೇವಾಲಯಕ್ಕೆ ಭೇಟಿ ನೀಡುವವರು ಆಗಾಗ್ಗೆ ಭೇಟಿ ನೀಡುತ್ತಾರೆ.")</f>
        <v>ಶ್ರೀಶೈಲ್ ಸ್ಥಳೀಯ ಶೈಲಿಯ ಸಸ್ಯಾಹಾರಿ ಆಹಾರವನ್ನು ಒದಗಿಸುತ್ತದೆ. ಈ ರೆಸ್ಟೋರೆಂಟ್ ಸರಳ ಊಟದ ಆಯ್ಕೆಗಳ ಮೇಲೆ ಕೇಂದ್ರೀಕರಿಸುತ್ತದೆ. ದೇವಾಲಯಕ್ಕೆ ಭೇಟಿ ನೀಡುವವರು ಆಗಾಗ್ಗೆ ಭೇಟಿ ನೀಡುತ್ತಾರೆ.</v>
      </c>
      <c r="P162" s="10" t="str">
        <f>IFERROR(__xludf.DUMMYFUNCTION("GOOGLETRANSLATE(K162,""en"",""ml"")"),"ശ്രീഷൈൽ പ്രാദേശിക രീതിയിലുള്ള സസ്യാഹാരം വിളമ്പുന്നു. ലളിതമായ ഭക്ഷണ ഓപ്ഷനുകളിലാണ് റെസ്റ്റോറന്റ് ശ്രദ്ധ കേന്ദ്രീകരിക്കുന്നത്. ക്ഷേത്ര സന്ദർശകർ പതിവായി ഇത് സന്ദർശിക്കാറുണ്ട്.")</f>
        <v>ശ്രീഷൈൽ പ്രാദേശിക രീതിയിലുള്ള സസ്യാഹാരം വിളമ്പുന്നു. ലളിതമായ ഭക്ഷണ ഓപ്ഷനുകളിലാണ് റെസ്റ്റോറന്റ് ശ്രദ്ധ കേന്ദ്രീകരിക്കുന്നത്. ക്ഷേത്ര സന്ദർശകർ പതിവായി ഇത് സന്ദർശിക്കാറുണ്ട്.</v>
      </c>
    </row>
    <row r="163">
      <c r="A163" s="6">
        <f t="shared" si="1"/>
        <v>162</v>
      </c>
      <c r="B163" s="6" t="s">
        <v>569</v>
      </c>
      <c r="C163" s="6">
        <v>16.0733451</v>
      </c>
      <c r="D163" s="6">
        <v>78.8740116</v>
      </c>
      <c r="E163" s="5" t="s">
        <v>533</v>
      </c>
      <c r="F163" s="8" t="s">
        <v>570</v>
      </c>
      <c r="G163" s="8" t="s">
        <v>571</v>
      </c>
      <c r="H163" s="8" t="s">
        <v>572</v>
      </c>
      <c r="I163" s="8" t="s">
        <v>573</v>
      </c>
      <c r="J163" s="8" t="s">
        <v>574</v>
      </c>
      <c r="K163" s="12" t="s">
        <v>575</v>
      </c>
      <c r="L163" s="10" t="str">
        <f>IFERROR(__xludf.DUMMYFUNCTION("GOOGLETRANSLATE(K163,""en"",""te"")"),"శ్రీసలాం దక్షిణ భారత ఆహార పదార్థాలను క్రమం తప్పకుండా అందిస్తుంది. భోజనం సరసమైనది మరియు సరళమైనది. ఇది ప్రధానంగా యాత్రికులు మరియు స్థానిక సందర్శకులకు సేవలు అందిస్తుంది. సీటింగ్ ప్రాథమికమైనది.")</f>
        <v>శ్రీసలాం దక్షిణ భారత ఆహార పదార్థాలను క్రమం తప్పకుండా అందిస్తుంది. భోజనం సరసమైనది మరియు సరళమైనది. ఇది ప్రధానంగా యాత్రికులు మరియు స్థానిక సందర్శకులకు సేవలు అందిస్తుంది. సీటింగ్ ప్రాథమికమైనది.</v>
      </c>
      <c r="M163" s="10" t="str">
        <f>IFERROR(__xludf.DUMMYFUNCTION("GOOGLETRANSLATE(K163,""en"",""hi"")"),"श्रीसलाम में नियमित रूप से मिलने वाले दक्षिण भारतीय व्यंजन उपलब्ध हैं। भोजन किफायती और सादा है। यह मुख्य रूप से तीर्थयात्रियों और स्थानीय पर्यटकों को सेवा प्रदान करता है। बैठने की व्यवस्था साधारण है।")</f>
        <v>श्रीसलाम में नियमित रूप से मिलने वाले दक्षिण भारतीय व्यंजन उपलब्ध हैं। भोजन किफायती और सादा है। यह मुख्य रूप से तीर्थयात्रियों और स्थानीय पर्यटकों को सेवा प्रदान करता है। बैठने की व्यवस्था साधारण है।</v>
      </c>
      <c r="N163" s="10" t="str">
        <f>IFERROR(__xludf.DUMMYFUNCTION("GOOGLETRANSLATE(K163,""en"",""ta"")"),"ஸ்ரீசலம் வழக்கமான தென்னிந்திய உணவு வகைகளை வழங்குகிறது. உணவுகள் மலிவு விலையிலும் எளிமையாகவும் உள்ளன. இது முக்கியமாக யாத்ரீகர்கள் மற்றும் உள்ளூர் பார்வையாளர்களுக்கு ஏற்றது. இருக்கை வசதி அடிப்படையானது.")</f>
        <v>ஸ்ரீசலம் வழக்கமான தென்னிந்திய உணவு வகைகளை வழங்குகிறது. உணவுகள் மலிவு விலையிலும் எளிமையாகவும் உள்ளன. இது முக்கியமாக யாத்ரீகர்கள் மற்றும் உள்ளூர் பார்வையாளர்களுக்கு ஏற்றது. இருக்கை வசதி அடிப்படையானது.</v>
      </c>
      <c r="O163" s="10" t="str">
        <f>IFERROR(__xludf.DUMMYFUNCTION("GOOGLETRANSLATE(K163,""en"",""kn"")"),"ಶ್ರೀಸಲಾಂ ನಿಯಮಿತ ದಕ್ಷಿಣ ಭಾರತೀಯ ಆಹಾರ ಪದಾರ್ಥಗಳನ್ನು ನೀಡುತ್ತದೆ. ಊಟಗಳು ಕೈಗೆಟುಕುವ ಮತ್ತು ಸರಳ. ಇದು ಮುಖ್ಯವಾಗಿ ಯಾತ್ರಿಕರು ಮತ್ತು ಸ್ಥಳೀಯ ಸಂದರ್ಶಕರಿಗೆ ಆಹಾರವನ್ನು ಒದಗಿಸುತ್ತದೆ. ಆಸನವು ಮೂಲಭೂತವಾಗಿದೆ.")</f>
        <v>ಶ್ರೀಸಲಾಂ ನಿಯಮಿತ ದಕ್ಷಿಣ ಭಾರತೀಯ ಆಹಾರ ಪದಾರ್ಥಗಳನ್ನು ನೀಡುತ್ತದೆ. ಊಟಗಳು ಕೈಗೆಟುಕುವ ಮತ್ತು ಸರಳ. ಇದು ಮುಖ್ಯವಾಗಿ ಯಾತ್ರಿಕರು ಮತ್ತು ಸ್ಥಳೀಯ ಸಂದರ್ಶಕರಿಗೆ ಆಹಾರವನ್ನು ಒದಗಿಸುತ್ತದೆ. ಆಸನವು ಮೂಲಭೂತವಾಗಿದೆ.</v>
      </c>
      <c r="P163" s="10" t="str">
        <f>IFERROR(__xludf.DUMMYFUNCTION("GOOGLETRANSLATE(K163,""en"",""ml"")"),"ശ്രീസലാം പതിവ് ദക്ഷിണേന്ത്യൻ ഭക്ഷണങ്ങൾ വാഗ്ദാനം ചെയ്യുന്നു. ഭക്ഷണം താങ്ങാനാവുന്നതും ലളിതവുമാണ്. പ്രധാനമായും തീർത്ഥാടകർക്കും പ്രാദേശിക സന്ദർശകർക്കും വേണ്ടിയാണ് ഇത് പ്രവർത്തിക്കുന്നത്. ഇരിപ്പിട സൗകര്യം അടിസ്ഥാനപരമാണ്.")</f>
        <v>ശ്രീസലാം പതിവ് ദക്ഷിണേന്ത്യൻ ഭക്ഷണങ്ങൾ വാഗ്ദാനം ചെയ്യുന്നു. ഭക്ഷണം താങ്ങാനാവുന്നതും ലളിതവുമാണ്. പ്രധാനമായും തീർത്ഥാടകർക്കും പ്രാദേശിക സന്ദർശകർക്കും വേണ്ടിയാണ് ഇത് പ്രവർത്തിക്കുന്നത്. ഇരിപ്പിട സൗകര്യം അടിസ്ഥാനപരമാണ്.</v>
      </c>
    </row>
    <row r="164">
      <c r="A164" s="6">
        <f t="shared" si="1"/>
        <v>163</v>
      </c>
      <c r="B164" s="6" t="s">
        <v>576</v>
      </c>
      <c r="C164" s="6">
        <v>16.0745511</v>
      </c>
      <c r="D164" s="6">
        <v>78.8736382</v>
      </c>
      <c r="E164" s="5" t="s">
        <v>533</v>
      </c>
      <c r="F164" s="11" t="str">
        <f>IFERROR(__xludf.DUMMYFUNCTION("GOOGLETRANSLATE(B164,""en"",""te"")"),"గణేశ్ ఫుడ్ కోర్ట్")</f>
        <v>గణేశ్ ఫుడ్ కోర్ట్</v>
      </c>
      <c r="G164" s="10" t="str">
        <f>IFERROR(__xludf.DUMMYFUNCTION("GOOGLETRANSLATE(B164,""en"",""hi"")"),"गणेश फूड कोर्ट")</f>
        <v>गणेश फूड कोर्ट</v>
      </c>
      <c r="H164" s="10" t="str">
        <f>IFERROR(__xludf.DUMMYFUNCTION("GOOGLETRANSLATE(B164,""en"",""ta"")"),"கணெஷ் ஃபுட் கோர்ட்")</f>
        <v>கணெஷ் ஃபுட் கோர்ட்</v>
      </c>
      <c r="I164" s="10" t="str">
        <f>IFERROR(__xludf.DUMMYFUNCTION("GOOGLETRANSLATE(B164,""en"",""kn"")"),"ಗಣೆಶ್ ಫೂಡ್ ಕೋರ್ಟ್")</f>
        <v>ಗಣೆಶ್ ಫೂಡ್ ಕೋರ್ಟ್</v>
      </c>
      <c r="J164" s="10" t="str">
        <f>IFERROR(__xludf.DUMMYFUNCTION("GOOGLETRANSLATE(B164,""en"",""ml"")"),"ഗണെഷ് ഫൂഡ് കോര്ട്")</f>
        <v>ഗണെഷ് ഫൂഡ് കോര്ട്</v>
      </c>
      <c r="K164" s="12" t="s">
        <v>577</v>
      </c>
      <c r="L164" s="10" t="str">
        <f>IFERROR(__xludf.DUMMYFUNCTION("GOOGLETRANSLATE(K164,""en"",""te"")"),"గణేష్ ఫుడ్ కోర్ట్ ఒకే చోట బహుళ ఆహార ఎంపికలను అందిస్తుంది. ఇందులో కుటుంబాలు మరియు సమూహాలకు అనువైన సీటింగ్ ఉంది. స్నాక్స్ మరియు ఫుల్ మీల్స్ రెండూ అందుబాటులో ఉన్నాయి. ఇది సౌకర్యవంతమైన భోజన స్టాప్.")</f>
        <v>గణేష్ ఫుడ్ కోర్ట్ ఒకే చోట బహుళ ఆహార ఎంపికలను అందిస్తుంది. ఇందులో కుటుంబాలు మరియు సమూహాలకు అనువైన సీటింగ్ ఉంది. స్నాక్స్ మరియు ఫుల్ మీల్స్ రెండూ అందుబాటులో ఉన్నాయి. ఇది సౌకర్యవంతమైన భోజన స్టాప్.</v>
      </c>
      <c r="M164" s="10" t="str">
        <f>IFERROR(__xludf.DUMMYFUNCTION("GOOGLETRANSLATE(K164,""en"",""hi"")"),"गणेश फूड कोर्ट एक ही छत के नीचे कई तरह के खाने के विकल्प प्रदान करता है। यहाँ परिवारों और समूहों के लिए उपयुक्त बैठने की व्यवस्था है। यहाँ स्नैक्स और पूरा भोजन दोनों उपलब्ध हैं। यह एक सुविधाजनक भोजन स्थल है।")</f>
        <v>गणेश फूड कोर्ट एक ही छत के नीचे कई तरह के खाने के विकल्प प्रदान करता है। यहाँ परिवारों और समूहों के लिए उपयुक्त बैठने की व्यवस्था है। यहाँ स्नैक्स और पूरा भोजन दोनों उपलब्ध हैं। यह एक सुविधाजनक भोजन स्थल है।</v>
      </c>
      <c r="N164" s="10" t="str">
        <f>IFERROR(__xludf.DUMMYFUNCTION("GOOGLETRANSLATE(K164,""en"",""ta"")"),"கணேஷ் ஃபுட் கோர்ட் ஒரே கூரையின் கீழ் பல உணவு விருப்பங்களை வழங்குகிறது. இது குடும்பங்கள் மற்றும் குழுக்களுக்கு ஏற்ற இருக்கைகளைக் கொண்டுள்ளது. சிற்றுண்டி மற்றும் முழு உணவு இரண்டும் கிடைக்கின்றன. இது ஒரு வசதியான உணவு நிறுத்தமாகும்.")</f>
        <v>கணேஷ் ஃபுட் கோர்ட் ஒரே கூரையின் கீழ் பல உணவு விருப்பங்களை வழங்குகிறது. இது குடும்பங்கள் மற்றும் குழுக்களுக்கு ஏற்ற இருக்கைகளைக் கொண்டுள்ளது. சிற்றுண்டி மற்றும் முழு உணவு இரண்டும் கிடைக்கின்றன. இது ஒரு வசதியான உணவு நிறுத்தமாகும்.</v>
      </c>
      <c r="O164" s="10" t="str">
        <f>IFERROR(__xludf.DUMMYFUNCTION("GOOGLETRANSLATE(K164,""en"",""kn"")"),"ಗಣೇಶ್ ಫುಡ್ ಕೋರ್ಟ್ ಒಂದೇ ಸೂರಿನಡಿ ಬಹು ಆಹಾರ ಆಯ್ಕೆಗಳನ್ನು ಒದಗಿಸುತ್ತದೆ. ಇದು ಕುಟುಂಬಗಳು ಮತ್ತು ಗುಂಪುಗಳಿಗೆ ಸೂಕ್ತವಾದ ಆಸನಗಳನ್ನು ಹೊಂದಿದೆ. ತಿಂಡಿಗಳು ಮತ್ತು ಪೂರ್ಣ ಊಟ ಎರಡೂ ಲಭ್ಯವಿದೆ. ಇದು ಅನುಕೂಲಕರ ಊಟದ ನಿಲ್ದಾಣವಾಗಿದೆ.")</f>
        <v>ಗಣೇಶ್ ಫುಡ್ ಕೋರ್ಟ್ ಒಂದೇ ಸೂರಿನಡಿ ಬಹು ಆಹಾರ ಆಯ್ಕೆಗಳನ್ನು ಒದಗಿಸುತ್ತದೆ. ಇದು ಕುಟುಂಬಗಳು ಮತ್ತು ಗುಂಪುಗಳಿಗೆ ಸೂಕ್ತವಾದ ಆಸನಗಳನ್ನು ಹೊಂದಿದೆ. ತಿಂಡಿಗಳು ಮತ್ತು ಪೂರ್ಣ ಊಟ ಎರಡೂ ಲಭ್ಯವಿದೆ. ಇದು ಅನುಕೂಲಕರ ಊಟದ ನಿಲ್ದಾಣವಾಗಿದೆ.</v>
      </c>
      <c r="P164" s="10" t="str">
        <f>IFERROR(__xludf.DUMMYFUNCTION("GOOGLETRANSLATE(K164,""en"",""ml"")"),"ഗണേഷ് ഫുഡ് കോർട്ട് ഒരു മേൽക്കൂരയ്ക്ക് കീഴിൽ ഒന്നിലധികം ഭക്ഷണ ഓപ്ഷനുകൾ വാഗ്ദാനം ചെയ്യുന്നു. കുടുംബങ്ങൾക്കും ഗ്രൂപ്പുകൾക്കും അനുയോജ്യമായ ഇരിപ്പിടങ്ങൾ ഇവിടെയുണ്ട്. ലഘുഭക്ഷണങ്ങളും ഫുൾ മീൽസും ലഭ്യമാണ്. ഇത് സൗകര്യപ്രദമായ ഒരു ഡൈനിംഗ് സ്റ്റോപ്പാണ്.")</f>
        <v>ഗണേഷ് ഫുഡ് കോർട്ട് ഒരു മേൽക്കൂരയ്ക്ക് കീഴിൽ ഒന്നിലധികം ഭക്ഷണ ഓപ്ഷനുകൾ വാഗ്ദാനം ചെയ്യുന്നു. കുടുംബങ്ങൾക്കും ഗ്രൂപ്പുകൾക്കും അനുയോജ്യമായ ഇരിപ്പിടങ്ങൾ ഇവിടെയുണ്ട്. ലഘുഭക്ഷണങ്ങളും ഫുൾ മീൽസും ലഭ്യമാണ്. ഇത് സൗകര്യപ്രദമായ ഒരു ഡൈനിംഗ് സ്റ്റോപ്പാണ്.</v>
      </c>
    </row>
    <row r="165">
      <c r="A165" s="6">
        <f t="shared" si="1"/>
        <v>164</v>
      </c>
      <c r="B165" s="6" t="s">
        <v>578</v>
      </c>
      <c r="C165" s="6">
        <v>16.0771499</v>
      </c>
      <c r="D165" s="6">
        <v>78.8761121</v>
      </c>
      <c r="E165" s="5" t="s">
        <v>533</v>
      </c>
      <c r="F165" s="11" t="str">
        <f>IFERROR(__xludf.DUMMYFUNCTION("GOOGLETRANSLATE(B165,""en"",""te"")"),"త్రి శక్తి క్యాంటీన్")</f>
        <v>త్రి శక్తి క్యాంటీన్</v>
      </c>
      <c r="G165" s="10" t="str">
        <f>IFERROR(__xludf.DUMMYFUNCTION("GOOGLETRANSLATE(B165,""en"",""hi"")"),"त्रि शक्ति कैंटीन")</f>
        <v>त्रि शक्ति कैंटीन</v>
      </c>
      <c r="H165" s="10" t="str">
        <f>IFERROR(__xludf.DUMMYFUNCTION("GOOGLETRANSLATE(B165,""en"",""ta"")"),"திரி சக்தி கேன்டீன்")</f>
        <v>திரி சக்தி கேன்டீன்</v>
      </c>
      <c r="I165" s="10" t="str">
        <f>IFERROR(__xludf.DUMMYFUNCTION("GOOGLETRANSLATE(B165,""en"",""kn"")"),"ಟ್ರೈ ಶಕ್ತಿ ಕ್ಯಾಂಟೀನ್")</f>
        <v>ಟ್ರೈ ಶಕ್ತಿ ಕ್ಯಾಂಟೀನ್</v>
      </c>
      <c r="J165" s="10" t="str">
        <f>IFERROR(__xludf.DUMMYFUNCTION("GOOGLETRANSLATE(B165,""en"",""ml"")"),"ത്രി ശക്തി കാന്റീന്")</f>
        <v>ത്രി ശക്തി കാന്റീന്</v>
      </c>
      <c r="K165" s="12" t="s">
        <v>579</v>
      </c>
      <c r="L165" s="10" t="str">
        <f>IFERROR(__xludf.DUMMYFUNCTION("GOOGLETRANSLATE(K165,""en"",""te"")"),"త్రి శక్తి క్యాంటీన్ క్యాంటీన్ తరహా సెటప్‌లో సరళమైన శాఖాహార భోజనాన్ని అందిస్తుంది. ఆహారాన్ని శీఘ్ర సేవ కోసం తయారు చేస్తారు.")</f>
        <v>త్రి శక్తి క్యాంటీన్ క్యాంటీన్ తరహా సెటప్‌లో సరళమైన శాఖాహార భోజనాన్ని అందిస్తుంది. ఆహారాన్ని శీఘ్ర సేవ కోసం తయారు చేస్తారు.</v>
      </c>
      <c r="M165" s="10" t="str">
        <f>IFERROR(__xludf.DUMMYFUNCTION("GOOGLETRANSLATE(K165,""en"",""hi"")"),"त्रि शक्ति कैंटीन में साधारण शाकाहारी भोजन परोसा जाता है। यहाँ भोजन जल्दी परोसा जाता है।")</f>
        <v>त्रि शक्ति कैंटीन में साधारण शाकाहारी भोजन परोसा जाता है। यहाँ भोजन जल्दी परोसा जाता है।</v>
      </c>
      <c r="N165" s="10" t="str">
        <f>IFERROR(__xludf.DUMMYFUNCTION("GOOGLETRANSLATE(K165,""en"",""ta"")"),"திரி சக்தி கேன்டீன், கேண்டீன் பாணி அமைப்பில் எளிய சைவ உணவுகளை வழங்குகிறது. உணவு விரைவான சேவைக்காக தயாரிக்கப்படுகிறது.")</f>
        <v>திரி சக்தி கேன்டீன், கேண்டீன் பாணி அமைப்பில் எளிய சைவ உணவுகளை வழங்குகிறது. உணவு விரைவான சேவைக்காக தயாரிக்கப்படுகிறது.</v>
      </c>
      <c r="O165" s="10" t="str">
        <f>IFERROR(__xludf.DUMMYFUNCTION("GOOGLETRANSLATE(K165,""en"",""kn"")"),"ತ್ರಿ ಶಕ್ತಿ ಕ್ಯಾಂಟೀನ್ ಸರಳ ಸಸ್ಯಾಹಾರಿ ಊಟವನ್ನು ಕ್ಯಾಂಟೀನ್ ಶೈಲಿಯ ವ್ಯವಸ್ಥೆಯಲ್ಲಿ ಒದಗಿಸುತ್ತದೆ. ಆಹಾರವನ್ನು ತ್ವರಿತ ಸೇವೆಗಾಗಿ ತಯಾರಿಸಲಾಗುತ್ತದೆ.")</f>
        <v>ತ್ರಿ ಶಕ್ತಿ ಕ್ಯಾಂಟೀನ್ ಸರಳ ಸಸ್ಯಾಹಾರಿ ಊಟವನ್ನು ಕ್ಯಾಂಟೀನ್ ಶೈಲಿಯ ವ್ಯವಸ್ಥೆಯಲ್ಲಿ ಒದಗಿಸುತ್ತದೆ. ಆಹಾರವನ್ನು ತ್ವರಿತ ಸೇವೆಗಾಗಿ ತಯಾರಿಸಲಾಗುತ್ತದೆ.</v>
      </c>
      <c r="P165" s="10" t="str">
        <f>IFERROR(__xludf.DUMMYFUNCTION("GOOGLETRANSLATE(K165,""en"",""ml"")"),"ത്രിശക്തി കാന്റീൻ ലളിതമായ സസ്യാഹാരം കാന്റീൻ ശൈലിയിൽ വിളമ്പുന്നു. പെട്ടെന്നുള്ള സേവനത്തിനായി ഭക്ഷണം തയ്യാറാക്കുന്നു.")</f>
        <v>ത്രിശക്തി കാന്റീൻ ലളിതമായ സസ്യാഹാരം കാന്റീൻ ശൈലിയിൽ വിളമ്പുന്നു. പെട്ടെന്നുള്ള സേവനത്തിനായി ഭക്ഷണം തയ്യാറാക്കുന്നു.</v>
      </c>
    </row>
    <row r="166">
      <c r="A166" s="6">
        <f t="shared" si="1"/>
        <v>165</v>
      </c>
      <c r="B166" s="6" t="s">
        <v>580</v>
      </c>
      <c r="C166" s="6">
        <v>16.0719139</v>
      </c>
      <c r="D166" s="6">
        <v>78.8703625</v>
      </c>
      <c r="E166" s="5" t="s">
        <v>533</v>
      </c>
      <c r="F166" s="11" t="str">
        <f>IFERROR(__xludf.DUMMYFUNCTION("GOOGLETRANSLATE(B166,""en"",""te"")"),"అమ్మా కేటరింగ్")</f>
        <v>అమ్మా కేటరింగ్</v>
      </c>
      <c r="G166" s="10" t="str">
        <f>IFERROR(__xludf.DUMMYFUNCTION("GOOGLETRANSLATE(B166,""en"",""hi"")"),"अम्मा कैटरिंग")</f>
        <v>अम्मा कैटरिंग</v>
      </c>
      <c r="H166" s="10" t="str">
        <f>IFERROR(__xludf.DUMMYFUNCTION("GOOGLETRANSLATE(B166,""en"",""ta"")"),"அம்மா கேட்டரிங்")</f>
        <v>அம்மா கேட்டரிங்</v>
      </c>
      <c r="I166" s="10" t="str">
        <f>IFERROR(__xludf.DUMMYFUNCTION("GOOGLETRANSLATE(B166,""en"",""kn"")"),"ಅಮ್ಮಾ ಕೆಟರಿಂಗ್")</f>
        <v>ಅಮ್ಮಾ ಕೆಟರಿಂಗ್</v>
      </c>
      <c r="J166" s="10" t="str">
        <f>IFERROR(__xludf.DUMMYFUNCTION("GOOGLETRANSLATE(B166,""en"",""ml"")"),"അമ്മാ കെറ്ററിംഗ്")</f>
        <v>അമ്മാ കെറ്ററിംഗ്</v>
      </c>
      <c r="K166" s="12" t="s">
        <v>581</v>
      </c>
      <c r="L166" s="10" t="str">
        <f>IFERROR(__xludf.DUMMYFUNCTION("GOOGLETRANSLATE(K166,""en"",""te"")"),"అమ్మ క్యాటరింగ్ వండిన శాఖాహార భోజనం మరియు క్యాటరింగ్ సేవలను అందిస్తుంది. ఆహారం సాంప్రదాయ తయారీ పద్ధతులను అనుసరిస్తుంది. దీనిని తరచుగా సమూహ భోజనం కోసం ఉపయోగిస్తారు. సేవ డిమాండ్‌పై ఆధారపడి ఉంటుంది.")</f>
        <v>అమ్మ క్యాటరింగ్ వండిన శాఖాహార భోజనం మరియు క్యాటరింగ్ సేవలను అందిస్తుంది. ఆహారం సాంప్రదాయ తయారీ పద్ధతులను అనుసరిస్తుంది. దీనిని తరచుగా సమూహ భోజనం కోసం ఉపయోగిస్తారు. సేవ డిమాండ్‌పై ఆధారపడి ఉంటుంది.</v>
      </c>
      <c r="M166" s="10" t="str">
        <f>IFERROR(__xludf.DUMMYFUNCTION("GOOGLETRANSLATE(K166,""en"",""hi"")"),"अम्मा कैटरिंग शाकाहारी भोजन और खानपान सेवाएं प्रदान करती है। भोजन पारंपरिक विधियों से तैयार किया जाता है। इसका उपयोग अक्सर सामूहिक भोजन के लिए किया जाता है। सेवा मांग के अनुसार उपलब्ध है।")</f>
        <v>अम्मा कैटरिंग शाकाहारी भोजन और खानपान सेवाएं प्रदान करती है। भोजन पारंपरिक विधियों से तैयार किया जाता है। इसका उपयोग अक्सर सामूहिक भोजन के लिए किया जाता है। सेवा मांग के अनुसार उपलब्ध है।</v>
      </c>
      <c r="N166" s="10" t="str">
        <f>IFERROR(__xludf.DUMMYFUNCTION("GOOGLETRANSLATE(K166,""en"",""ta"")"),"அம்மா கேட்டரிங் சமைத்த சைவ உணவுகள் மற்றும் கேட்டரிங் சேவைகளை வழங்குகிறது. உணவு பாரம்பரிய தயாரிப்பு முறைகளைப் பின்பற்றுகிறது. இது பெரும்பாலும் குழு உணவுகளுக்குப் பயன்படுத்தப்படுகிறது. சேவை தேவையைப் பொறுத்தது.")</f>
        <v>அம்மா கேட்டரிங் சமைத்த சைவ உணவுகள் மற்றும் கேட்டரிங் சேவைகளை வழங்குகிறது. உணவு பாரம்பரிய தயாரிப்பு முறைகளைப் பின்பற்றுகிறது. இது பெரும்பாலும் குழு உணவுகளுக்குப் பயன்படுத்தப்படுகிறது. சேவை தேவையைப் பொறுத்தது.</v>
      </c>
      <c r="O166" s="10" t="str">
        <f>IFERROR(__xludf.DUMMYFUNCTION("GOOGLETRANSLATE(K166,""en"",""kn"")"),"ಅಮ್ಮ ಕ್ಯಾಟರಿಂಗ್ ಬೇಯಿಸಿದ ಸಸ್ಯಾಹಾರಿ ಊಟ ಮತ್ತು ಅಡುಗೆ ಸೇವೆಗಳನ್ನು ಒದಗಿಸುತ್ತದೆ. ಆಹಾರವು ಸಾಂಪ್ರದಾಯಿಕ ತಯಾರಿ ವಿಧಾನಗಳನ್ನು ಅನುಸರಿಸುತ್ತದೆ. ಇದನ್ನು ಹೆಚ್ಚಾಗಿ ಗುಂಪು ಊಟಗಳಿಗೆ ಬಳಸಲಾಗುತ್ತದೆ. ಸೇವೆಯು ಬೇಡಿಕೆಯನ್ನು ಅವಲಂಬಿಸಿರುತ್ತದೆ.")</f>
        <v>ಅಮ್ಮ ಕ್ಯಾಟರಿಂಗ್ ಬೇಯಿಸಿದ ಸಸ್ಯಾಹಾರಿ ಊಟ ಮತ್ತು ಅಡುಗೆ ಸೇವೆಗಳನ್ನು ಒದಗಿಸುತ್ತದೆ. ಆಹಾರವು ಸಾಂಪ್ರದಾಯಿಕ ತಯಾರಿ ವಿಧಾನಗಳನ್ನು ಅನುಸರಿಸುತ್ತದೆ. ಇದನ್ನು ಹೆಚ್ಚಾಗಿ ಗುಂಪು ಊಟಗಳಿಗೆ ಬಳಸಲಾಗುತ್ತದೆ. ಸೇವೆಯು ಬೇಡಿಕೆಯನ್ನು ಅವಲಂಬಿಸಿರುತ್ತದೆ.</v>
      </c>
      <c r="P166" s="10" t="str">
        <f>IFERROR(__xludf.DUMMYFUNCTION("GOOGLETRANSLATE(K166,""en"",""ml"")"),"അമ്മ കാറ്ററിംഗ് പാകം ചെയ്ത സസ്യാഹാരവും കാറ്ററിംഗ് സേവനങ്ങളും നൽകുന്നു. പരമ്പരാഗത രീതിയിലുള്ള പാചക രീതികളാണ് ഇവിടെ പിന്തുടരുന്നത്. ഗ്രൂപ്പ് മീലുകൾക്ക് ഇത് പലപ്പോഴും ഉപയോഗിക്കുന്നു. സേവനം ആവശ്യക്കാരെ ആശ്രയിച്ചിരിക്കുന്നു.")</f>
        <v>അമ്മ കാറ്ററിംഗ് പാകം ചെയ്ത സസ്യാഹാരവും കാറ്ററിംഗ് സേവനങ്ങളും നൽകുന്നു. പരമ്പരാഗത രീതിയിലുള്ള പാചക രീതികളാണ് ഇവിടെ പിന്തുടരുന്നത്. ഗ്രൂപ്പ് മീലുകൾക്ക് ഇത് പലപ്പോഴും ഉപയോഗിക്കുന്നു. സേവനം ആവശ്യക്കാരെ ആശ്രയിച്ചിരിക്കുന്നു.</v>
      </c>
    </row>
    <row r="167">
      <c r="A167" s="6">
        <f t="shared" si="1"/>
        <v>166</v>
      </c>
      <c r="B167" s="6" t="s">
        <v>582</v>
      </c>
      <c r="C167" s="6">
        <v>16.071599</v>
      </c>
      <c r="D167" s="6">
        <v>78.8709482</v>
      </c>
      <c r="E167" s="5" t="s">
        <v>533</v>
      </c>
      <c r="F167" s="8" t="s">
        <v>583</v>
      </c>
      <c r="G167" s="8" t="s">
        <v>584</v>
      </c>
      <c r="H167" s="8" t="s">
        <v>585</v>
      </c>
      <c r="I167" s="8" t="s">
        <v>586</v>
      </c>
      <c r="J167" s="8" t="s">
        <v>587</v>
      </c>
      <c r="K167" s="12" t="s">
        <v>588</v>
      </c>
      <c r="L167" s="10" t="str">
        <f>IFERROR(__xludf.DUMMYFUNCTION("GOOGLETRANSLATE(K167,""en"",""te"")"),"ఈ టిఫిన్ సెంటర్ శాఖాహార దక్షిణ భారత అల్పాహార వస్తువులను అందిస్తుంది. త్వరగా తినడానికి ఆహారం తయారు చేయబడుతుంది. ఉదయం వేళల్లో సేవ వేగంగా ఉంటుంది. సీటింగ్ పరిమితంగా ఉంటుంది.")</f>
        <v>ఈ టిఫిన్ సెంటర్ శాఖాహార దక్షిణ భారత అల్పాహార వస్తువులను అందిస్తుంది. త్వరగా తినడానికి ఆహారం తయారు చేయబడుతుంది. ఉదయం వేళల్లో సేవ వేగంగా ఉంటుంది. సీటింగ్ పరిమితంగా ఉంటుంది.</v>
      </c>
      <c r="M167" s="10" t="str">
        <f>IFERROR(__xludf.DUMMYFUNCTION("GOOGLETRANSLATE(K167,""en"",""hi"")"),"यह टिफिन सेंटर शाकाहारी दक्षिण भारतीय नाश्ते के व्यंजन परोसता है। खाना झटपट खाने के लिए तैयार किया जाता है। सुबह के समय सेवा तेज़ होती है। बैठने की जगह सीमित है।")</f>
        <v>यह टिफिन सेंटर शाकाहारी दक्षिण भारतीय नाश्ते के व्यंजन परोसता है। खाना झटपट खाने के लिए तैयार किया जाता है। सुबह के समय सेवा तेज़ होती है। बैठने की जगह सीमित है।</v>
      </c>
      <c r="N167" s="10" t="str">
        <f>IFERROR(__xludf.DUMMYFUNCTION("GOOGLETRANSLATE(K167,""en"",""ta"")"),"இந்த டிபன் மையத்தில் தென்னிந்திய சைவ காலை உணவு வகைகள் வழங்கப்படுகின்றன. விரைவாக சாப்பிடுவதற்காக உணவு தயாரிக்கப்படுகிறது. காலை நேரங்களில் சேவை வேகமாக இருக்கும். இருக்கைகள் குறைவாகவே உள்ளன.")</f>
        <v>இந்த டிபன் மையத்தில் தென்னிந்திய சைவ காலை உணவு வகைகள் வழங்கப்படுகின்றன. விரைவாக சாப்பிடுவதற்காக உணவு தயாரிக்கப்படுகிறது. காலை நேரங்களில் சேவை வேகமாக இருக்கும். இருக்கைகள் குறைவாகவே உள்ளன.</v>
      </c>
      <c r="O167" s="10" t="str">
        <f>IFERROR(__xludf.DUMMYFUNCTION("GOOGLETRANSLATE(K167,""en"",""kn"")"),"ಈ ಟಿಫಿನ್ ಕೇಂದ್ರವು ಸಸ್ಯಾಹಾರಿ ದಕ್ಷಿಣ ಭಾರತೀಯ ಉಪಹಾರ ದ್ರವ್ಯಗಳನ್ನು ಒದಗಿಸುತ್ತದೆ. ಆಹಾರವನ್ನು ತ್ವರಿತವಾಗಿ ಸೇವಿಸಲು ತಯಾರಿಸಲಾಗುತ್ತದೆ. ಬೆಳಗಿನ ಸಮಯದಲ್ಲಿ ಸೇವೆ ವೇಗವಾಗಿರುತ್ತದೆ. ಆಸನಗಳು ಸೀಮಿತವಾಗಿವೆ.")</f>
        <v>ಈ ಟಿಫಿನ್ ಕೇಂದ್ರವು ಸಸ್ಯಾಹಾರಿ ದಕ್ಷಿಣ ಭಾರತೀಯ ಉಪಹಾರ ದ್ರವ್ಯಗಳನ್ನು ಒದಗಿಸುತ್ತದೆ. ಆಹಾರವನ್ನು ತ್ವರಿತವಾಗಿ ಸೇವಿಸಲು ತಯಾರಿಸಲಾಗುತ್ತದೆ. ಬೆಳಗಿನ ಸಮಯದಲ್ಲಿ ಸೇವೆ ವೇಗವಾಗಿರುತ್ತದೆ. ಆಸನಗಳು ಸೀಮಿತವಾಗಿವೆ.</v>
      </c>
      <c r="P167" s="10" t="str">
        <f>IFERROR(__xludf.DUMMYFUNCTION("GOOGLETRANSLATE(K167,""en"",""ml"")"),"ഈ ടിഫിൻ സെന്ററിൽ വെജിറ്റേറിയൻ ദക്ഷിണേന്ത്യൻ പ്രഭാതഭക്ഷണ ഇനങ്ങൾ വിളമ്പുന്നു. പെട്ടെന്ന് കഴിക്കാൻ പാകത്തിന് ഭക്ഷണം തയ്യാറാക്കുന്നു. രാവിലെ സമയങ്ങളിൽ സേവനം വേഗത്തിലാണ്. ഇരിപ്പിടങ്ങൾ പരിമിതമാണ്.")</f>
        <v>ഈ ടിഫിൻ സെന്ററിൽ വെജിറ്റേറിയൻ ദക്ഷിണേന്ത്യൻ പ്രഭാതഭക്ഷണ ഇനങ്ങൾ വിളമ്പുന്നു. പെട്ടെന്ന് കഴിക്കാൻ പാകത്തിന് ഭക്ഷണം തയ്യാറാക്കുന്നു. രാവിലെ സമയങ്ങളിൽ സേവനം വേഗത്തിലാണ്. ഇരിപ്പിടങ്ങൾ പരിമിതമാണ്.</v>
      </c>
    </row>
    <row r="168">
      <c r="A168" s="6">
        <f t="shared" si="1"/>
        <v>167</v>
      </c>
      <c r="B168" s="6" t="s">
        <v>589</v>
      </c>
      <c r="C168" s="6">
        <v>16.0739398</v>
      </c>
      <c r="D168" s="6">
        <v>78.8713545</v>
      </c>
      <c r="E168" s="5" t="s">
        <v>533</v>
      </c>
      <c r="F168" s="11" t="str">
        <f>IFERROR(__xludf.DUMMYFUNCTION("GOOGLETRANSLATE(B168,""en"",""te"")"),"మహేశ్వరి టిఫిన్ సెంటర్ (బ్రేక్ఫాస్ట్)")</f>
        <v>మహేశ్వరి టిఫిన్ సెంటర్ (బ్రేక్ఫాస్ట్)</v>
      </c>
      <c r="G168" s="10" t="str">
        <f>IFERROR(__xludf.DUMMYFUNCTION("GOOGLETRANSLATE(B168,""en"",""hi"")"),"महेश्वरी टिफिन सेंटर (नाश्ता)")</f>
        <v>महेश्वरी टिफिन सेंटर (नाश्ता)</v>
      </c>
      <c r="H168" s="10" t="str">
        <f>IFERROR(__xludf.DUMMYFUNCTION("GOOGLETRANSLATE(B168,""en"",""ta"")"),"மகேஸ்வரி டிஃபன் சென்டர் (காலை உணவு)")</f>
        <v>மகேஸ்வரி டிஃபன் சென்டர் (காலை உணவு)</v>
      </c>
      <c r="I168" s="10" t="str">
        <f>IFERROR(__xludf.DUMMYFUNCTION("GOOGLETRANSLATE(B168,""en"",""kn"")"),"ಮಹೆಶ್ವರಿ ಟಿಫಿನ್ ಸೆಂಟರ್ (ಬ್ರೇಕ್ಫಾಸ್ಟ್)")</f>
        <v>ಮಹೆಶ್ವರಿ ಟಿಫಿನ್ ಸೆಂಟರ್ (ಬ್ರೇಕ್ಫಾಸ್ಟ್)</v>
      </c>
      <c r="J168" s="10" t="str">
        <f>IFERROR(__xludf.DUMMYFUNCTION("GOOGLETRANSLATE(B168,""en"",""ml"")"),"മഹേശ്വരി ടിഫിൻ സെന്റർ (പ്രഭാതഭക്ഷണം)")</f>
        <v>മഹേശ്വരി ടിഫിൻ സെന്റർ (പ്രഭാതഭക്ഷണം)</v>
      </c>
      <c r="K168" s="12" t="s">
        <v>590</v>
      </c>
      <c r="L168" s="10" t="str">
        <f>IFERROR(__xludf.DUMMYFUNCTION("GOOGLETRANSLATE(K168,""en"",""te"")"),"మహేశ్వరి టిఫిన్ సెంటర్ ఇడ్లీ, దోసె వంటి అల్పాహార పదార్థాలలో ప్రత్యేకత కలిగి ఉంది. ఇది ప్రధానంగా ఉదయం వేళల్లో పనిచేస్తుంది. సేవ త్వరగా మరియు సమర్థవంతంగా ఉంటుంది.")</f>
        <v>మహేశ్వరి టిఫిన్ సెంటర్ ఇడ్లీ, దోసె వంటి అల్పాహార పదార్థాలలో ప్రత్యేకత కలిగి ఉంది. ఇది ప్రధానంగా ఉదయం వేళల్లో పనిచేస్తుంది. సేవ త్వరగా మరియు సమర్థవంతంగా ఉంటుంది.</v>
      </c>
      <c r="M168" s="10" t="str">
        <f>IFERROR(__xludf.DUMMYFUNCTION("GOOGLETRANSLATE(K168,""en"",""hi"")"),"महेश्वरी टिफिन सेंटर इडली और डोसा जैसे नाश्ते के व्यंजनों में विशेषज्ञता रखता है। यह मुख्य रूप से सुबह के समय खुला रहता है। सेवा त्वरित और कुशल है।")</f>
        <v>महेश्वरी टिफिन सेंटर इडली और डोसा जैसे नाश्ते के व्यंजनों में विशेषज्ञता रखता है। यह मुख्य रूप से सुबह के समय खुला रहता है। सेवा त्वरित और कुशल है।</v>
      </c>
      <c r="N168" s="10" t="str">
        <f>IFERROR(__xludf.DUMMYFUNCTION("GOOGLETRANSLATE(K168,""en"",""ta"")"),"மகேஸ்வரி டிஃபன் சென்டர் இட்லி, தோசை போன்ற காலை உணவு வகைகளில் நிபுணத்துவம் பெற்றது. இது முக்கியமாக காலையில் செயல்படுகிறது. சேவை விரைவானது மற்றும் திறமையானது.")</f>
        <v>மகேஸ்வரி டிஃபன் சென்டர் இட்லி, தோசை போன்ற காலை உணவு வகைகளில் நிபுணத்துவம் பெற்றது. இது முக்கியமாக காலையில் செயல்படுகிறது. சேவை விரைவானது மற்றும் திறமையானது.</v>
      </c>
      <c r="O168" s="10" t="str">
        <f>IFERROR(__xludf.DUMMYFUNCTION("GOOGLETRANSLATE(K168,""en"",""kn"")"),"ಮಹೇಶ್ವರಿ ಟಿಫಿನ್ ಸೆಂಟರ್ ಇಡ್ಲಿ ಮತ್ತು ದೋಸೆಯಂತಹ ಉಪಾಹಾರ ಪದಾರ್ಥಗಳಲ್ಲಿ ಪರಿಣತಿ ಹೊಂದಿದೆ. ಇದು ಮುಖ್ಯವಾಗಿ ಬೆಳಿಗ್ಗೆ ಕಾರ್ಯನಿರ್ವಹಿಸುತ್ತದೆ. ಸೇವೆ ತ್ವರಿತ ಮತ್ತು ಪರಿಣಾಮಕಾರಿಯಾಗಿದೆ.")</f>
        <v>ಮಹೇಶ್ವರಿ ಟಿಫಿನ್ ಸೆಂಟರ್ ಇಡ್ಲಿ ಮತ್ತು ದೋಸೆಯಂತಹ ಉಪಾಹಾರ ಪದಾರ್ಥಗಳಲ್ಲಿ ಪರಿಣತಿ ಹೊಂದಿದೆ. ಇದು ಮುಖ್ಯವಾಗಿ ಬೆಳಿಗ್ಗೆ ಕಾರ್ಯನಿರ್ವಹಿಸುತ್ತದೆ. ಸೇವೆ ತ್ವರಿತ ಮತ್ತು ಪರಿಣಾಮಕಾರಿಯಾಗಿದೆ.</v>
      </c>
      <c r="P168" s="10" t="str">
        <f>IFERROR(__xludf.DUMMYFUNCTION("GOOGLETRANSLATE(K168,""en"",""ml"")"),"മഹേശ്വരി ടിഫിൻ സെന്റർ ഇഡ്ഡലി, ദോശ തുടങ്ങിയ പ്രഭാതഭക്ഷണ ഇനങ്ങളിൽ വൈദഗ്ദ്ധ്യം നേടിയിട്ടുണ്ട്. ഇത് പ്രധാനമായും രാവിലെയാണ് പ്രവർത്തിക്കുന്നത്. സേവനം വേഗത്തിലും കാര്യക്ഷമവുമാണ്.")</f>
        <v>മഹേശ്വരി ടിഫിൻ സെന്റർ ഇഡ്ഡലി, ദോശ തുടങ്ങിയ പ്രഭാതഭക്ഷണ ഇനങ്ങളിൽ വൈദഗ്ദ്ധ്യം നേടിയിട്ടുണ്ട്. ഇത് പ്രധാനമായും രാവിലെയാണ് പ്രവർത്തിക്കുന്നത്. സേവനം വേഗത്തിലും കാര്യക്ഷമവുമാണ്.</v>
      </c>
    </row>
    <row r="169">
      <c r="A169" s="6">
        <f t="shared" si="1"/>
        <v>168</v>
      </c>
      <c r="B169" s="6" t="s">
        <v>591</v>
      </c>
      <c r="C169" s="6">
        <v>16.0776245</v>
      </c>
      <c r="D169" s="6">
        <v>78.8766166</v>
      </c>
      <c r="E169" s="5" t="s">
        <v>533</v>
      </c>
      <c r="F169" s="11" t="str">
        <f>IFERROR(__xludf.DUMMYFUNCTION("GOOGLETRANSLATE(B169,""en"",""te"")"),"అల్లూరమ్మ టిఫిన్ హోటల్")</f>
        <v>అల్లూరమ్మ టిఫిన్ హోటల్</v>
      </c>
      <c r="G169" s="10" t="str">
        <f>IFERROR(__xludf.DUMMYFUNCTION("GOOGLETRANSLATE(B169,""en"",""hi"")"),"अल्लुरम्मा टिफिन होटल")</f>
        <v>अल्लुरम्मा टिफिन होटल</v>
      </c>
      <c r="H169" s="10" t="str">
        <f>IFERROR(__xludf.DUMMYFUNCTION("GOOGLETRANSLATE(B169,""en"",""ta"")"),"அல்லுரம்மா டிஃபன் ஹோட்டல்")</f>
        <v>அல்லுரம்மா டிஃபன் ஹோட்டல்</v>
      </c>
      <c r="I169" s="10" t="str">
        <f>IFERROR(__xludf.DUMMYFUNCTION("GOOGLETRANSLATE(B169,""en"",""kn"")"),"ಅಲ್ಲೂರಮ್ಮ ಟಿಫಿನ್ ಹೋಟೆಲ್")</f>
        <v>ಅಲ್ಲೂರಮ್ಮ ಟಿಫಿನ್ ಹೋಟೆಲ್</v>
      </c>
      <c r="J169" s="10" t="str">
        <f>IFERROR(__xludf.DUMMYFUNCTION("GOOGLETRANSLATE(B169,""en"",""ml"")"),"അല്ലുരമ്മ ടിഫിൻ ഹോട്ടൽ")</f>
        <v>അല്ലുരമ്മ ടിഫിൻ ഹോട്ടൽ</v>
      </c>
      <c r="K169" s="12" t="s">
        <v>592</v>
      </c>
      <c r="L169" s="10" t="str">
        <f>IFERROR(__xludf.DUMMYFUNCTION("GOOGLETRANSLATE(K169,""en"",""te"")"),"అల్లూరమ్మ టిఫిన్ హోటల్ శాఖాహార అల్పాహార వస్తువులను అందిస్తుంది. ఈ సెటప్ చిన్నది మరియు ప్రాథమిక సీటింగ్‌తో ఉంటుంది. ఆహారాన్ని తాజాగా వడ్డిస్తారు.")</f>
        <v>అల్లూరమ్మ టిఫిన్ హోటల్ శాఖాహార అల్పాహార వస్తువులను అందిస్తుంది. ఈ సెటప్ చిన్నది మరియు ప్రాథమిక సీటింగ్‌తో ఉంటుంది. ఆహారాన్ని తాజాగా వడ్డిస్తారు.</v>
      </c>
      <c r="M169" s="10" t="str">
        <f>IFERROR(__xludf.DUMMYFUNCTION("GOOGLETRANSLATE(K169,""en"",""hi"")"),"अल्लुरम्मा टिफिन होटल में शाकाहारी नाश्ते के विकल्प उपलब्ध हैं। यह छोटा सा होटल है जिसमें बैठने की साधारण व्यवस्था है। खाना ताज़ा परोसा जाता है।")</f>
        <v>अल्लुरम्मा टिफिन होटल में शाकाहारी नाश्ते के विकल्प उपलब्ध हैं। यह छोटा सा होटल है जिसमें बैठने की साधारण व्यवस्था है। खाना ताज़ा परोसा जाता है।</v>
      </c>
      <c r="N169" s="10" t="str">
        <f>IFERROR(__xludf.DUMMYFUNCTION("GOOGLETRANSLATE(K169,""en"",""ta"")"),"அல்லூரம்மா டிஃபன் ஹோட்டல் சைவ காலை உணவு வகைகளை வழங்குகிறது. அடிப்படை இருக்கைகளுடன் கூடிய அமைப்பு சிறியது. உணவு புதியதாக வழங்கப்படுகிறது.")</f>
        <v>அல்லூரம்மா டிஃபன் ஹோட்டல் சைவ காலை உணவு வகைகளை வழங்குகிறது. அடிப்படை இருக்கைகளுடன் கூடிய அமைப்பு சிறியது. உணவு புதியதாக வழங்கப்படுகிறது.</v>
      </c>
      <c r="O169" s="10" t="str">
        <f>IFERROR(__xludf.DUMMYFUNCTION("GOOGLETRANSLATE(K169,""en"",""kn"")"),"ಅಲ್ಲೂರಮ್ಮ ಟಿಫಿನ್ ಹೋಟೆಲ್ ಸಸ್ಯಾಹಾರಿ ಉಪಹಾರವನ್ನು ನೀಡುತ್ತದೆ. ಮೂಲಭೂತ ಆಸನಗಳೊಂದಿಗೆ ಸೆಟಪ್ ಚಿಕ್ಕದಾಗಿದೆ. ಆಹಾರವನ್ನು ತಾಜಾವಾಗಿ ನೀಡಲಾಗುತ್ತದೆ.")</f>
        <v>ಅಲ್ಲೂರಮ್ಮ ಟಿಫಿನ್ ಹೋಟೆಲ್ ಸಸ್ಯಾಹಾರಿ ಉಪಹಾರವನ್ನು ನೀಡುತ್ತದೆ. ಮೂಲಭೂತ ಆಸನಗಳೊಂದಿಗೆ ಸೆಟಪ್ ಚಿಕ್ಕದಾಗಿದೆ. ಆಹಾರವನ್ನು ತಾಜಾವಾಗಿ ನೀಡಲಾಗುತ್ತದೆ.</v>
      </c>
      <c r="P169" s="10" t="str">
        <f>IFERROR(__xludf.DUMMYFUNCTION("GOOGLETRANSLATE(K169,""en"",""ml"")"),"അല്ലുരമ്മ ടിഫിൻ ഹോട്ടൽ വെജിറ്റേറിയൻ പ്രഭാതഭക്ഷണം വാഗ്ദാനം ചെയ്യുന്നു. അടിസ്ഥാന ഇരിപ്പിടങ്ങൾ ഉൾപ്പെടെ ചെറിയ സജ്ജീകരണങ്ങളാണുള്ളത്. ഭക്ഷണം പുതുതായി വിളമ്പുന്നു.")</f>
        <v>അല്ലുരമ്മ ടിഫിൻ ഹോട്ടൽ വെജിറ്റേറിയൻ പ്രഭാതഭക്ഷണം വാഗ്ദാനം ചെയ്യുന്നു. അടിസ്ഥാന ഇരിപ്പിടങ്ങൾ ഉൾപ്പെടെ ചെറിയ സജ്ജീകരണങ്ങളാണുള്ളത്. ഭക്ഷണം പുതുതായി വിളമ്പുന്നു.</v>
      </c>
    </row>
    <row r="170">
      <c r="A170" s="6">
        <f t="shared" si="1"/>
        <v>169</v>
      </c>
      <c r="B170" s="6" t="s">
        <v>593</v>
      </c>
      <c r="C170" s="6">
        <v>16.075924</v>
      </c>
      <c r="D170" s="6">
        <v>78.8744297</v>
      </c>
      <c r="E170" s="5" t="s">
        <v>533</v>
      </c>
      <c r="F170" s="11" t="str">
        <f>IFERROR(__xludf.DUMMYFUNCTION("GOOGLETRANSLATE(B170,""en"",""te"")"),"లక్కీ టిఫిన్స్")</f>
        <v>లక్కీ టిఫిన్స్</v>
      </c>
      <c r="G170" s="10" t="str">
        <f>IFERROR(__xludf.DUMMYFUNCTION("GOOGLETRANSLATE(B170,""en"",""hi"")"),"लकी टिफिन्स")</f>
        <v>लकी टिफिन्स</v>
      </c>
      <c r="H170" s="10" t="str">
        <f>IFERROR(__xludf.DUMMYFUNCTION("GOOGLETRANSLATE(B170,""en"",""ta"")"),"லக்கி டிஃபின்கள்")</f>
        <v>லக்கி டிஃபின்கள்</v>
      </c>
      <c r="I170" s="10" t="str">
        <f>IFERROR(__xludf.DUMMYFUNCTION("GOOGLETRANSLATE(B170,""en"",""kn"")"),"ಲಕಿ ಟಿಫಿನ್ಸ್")</f>
        <v>ಲಕಿ ಟಿಫಿನ್ಸ್</v>
      </c>
      <c r="J170" s="10" t="str">
        <f>IFERROR(__xludf.DUMMYFUNCTION("GOOGLETRANSLATE(B170,""en"",""ml"")"),"ലക്കി ടിഫിൻസ്")</f>
        <v>ലക്കി ടിഫിൻസ്</v>
      </c>
      <c r="K170" s="12" t="s">
        <v>594</v>
      </c>
      <c r="L170" s="10" t="str">
        <f>IFERROR(__xludf.DUMMYFUNCTION("GOOGLETRANSLATE(K170,""en"",""te"")"),"లక్కీ టిఫిన్స్ సాధారణ దక్షిణ భారత టిఫిన్ వస్తువులను అందిస్తుంది. ఆహారం సరసమైనది మరియు కడుపు నింపేది. సర్వీస్ వేగంగా ఉంటుంది. ఇది చిన్న స్టాపులకు అనుకూలంగా ఉంటుంది.")</f>
        <v>లక్కీ టిఫిన్స్ సాధారణ దక్షిణ భారత టిఫిన్ వస్తువులను అందిస్తుంది. ఆహారం సరసమైనది మరియు కడుపు నింపేది. సర్వీస్ వేగంగా ఉంటుంది. ఇది చిన్న స్టాపులకు అనుకూలంగా ఉంటుంది.</v>
      </c>
      <c r="M170" s="10" t="str">
        <f>IFERROR(__xludf.DUMMYFUNCTION("GOOGLETRANSLATE(K170,""en"",""hi"")"),"लकी टिफिन्स में दक्षिण भारतीय टिफिन के आम व्यंजन मिलते हैं। खाना किफायती और पेट भरने वाला होता है। सेवा तेज़ है। थोड़े समय के लिए रुकने के लिए यह उपयुक्त है।")</f>
        <v>लकी टिफिन्स में दक्षिण भारतीय टिफिन के आम व्यंजन मिलते हैं। खाना किफायती और पेट भरने वाला होता है। सेवा तेज़ है। थोड़े समय के लिए रुकने के लिए यह उपयुक्त है।</v>
      </c>
      <c r="N170" s="10" t="str">
        <f>IFERROR(__xludf.DUMMYFUNCTION("GOOGLETRANSLATE(K170,""en"",""ta"")"),"லக்கி டிஃபின்ஸ் பொதுவான தென்னிந்திய டிஃபின் வகைகளை வழங்குகிறது. உணவு மலிவு விலையில் மற்றும் திருப்திகரமாக உள்ளது. சேவை வேகமானது. இது குறுகிய நிறுத்தங்களுக்கு ஏற்றது.")</f>
        <v>லக்கி டிஃபின்ஸ் பொதுவான தென்னிந்திய டிஃபின் வகைகளை வழங்குகிறது. உணவு மலிவு விலையில் மற்றும் திருப்திகரமாக உள்ளது. சேவை வேகமானது. இது குறுகிய நிறுத்தங்களுக்கு ஏற்றது.</v>
      </c>
      <c r="O170" s="10" t="str">
        <f>IFERROR(__xludf.DUMMYFUNCTION("GOOGLETRANSLATE(K170,""en"",""kn"")"),"ಲಕ್ಕಿ ಟಿಫಿನ್ಸ್ ದಕ್ಷಿಣ ಭಾರತದ ಸಾಮಾನ್ಯ ಟಿಫಿನ್ ವಸ್ತುಗಳನ್ನು ಒದಗಿಸುತ್ತದೆ. ಆಹಾರವು ಕೈಗೆಟುಕುವದು ಮತ್ತು ಹೊಟ್ಟೆ ತುಂಬಿಸುವಷ್ಟು ಉತ್ತಮವಾಗಿದೆ. ಸೇವೆ ವೇಗವಾಗಿದೆ. ಇದು ಸಣ್ಣ ನಿಲ್ದಾಣಗಳಿಗೆ ಸೂಕ್ತವಾಗಿದೆ.")</f>
        <v>ಲಕ್ಕಿ ಟಿಫಿನ್ಸ್ ದಕ್ಷಿಣ ಭಾರತದ ಸಾಮಾನ್ಯ ಟಿಫಿನ್ ವಸ್ತುಗಳನ್ನು ಒದಗಿಸುತ್ತದೆ. ಆಹಾರವು ಕೈಗೆಟುಕುವದು ಮತ್ತು ಹೊಟ್ಟೆ ತುಂಬಿಸುವಷ್ಟು ಉತ್ತಮವಾಗಿದೆ. ಸೇವೆ ವೇಗವಾಗಿದೆ. ಇದು ಸಣ್ಣ ನಿಲ್ದಾಣಗಳಿಗೆ ಸೂಕ್ತವಾಗಿದೆ.</v>
      </c>
      <c r="P170" s="10" t="str">
        <f>IFERROR(__xludf.DUMMYFUNCTION("GOOGLETRANSLATE(K170,""en"",""ml"")"),"ലക്കി ടിഫിൻസ് സാധാരണ ദക്ഷിണേന്ത്യൻ ടിഫിൻ ഇനങ്ങൾ വിളമ്പുന്നു. ഭക്ഷണം താങ്ങാനാവുന്നതും തൃപ്തികരവുമാണ്. സേവനം വേഗതയുള്ളതാണ്. ചെറിയ സ്റ്റോപ്പുകൾക്ക് ഇത് അനുയോജ്യമാണ്.")</f>
        <v>ലക്കി ടിഫിൻസ് സാധാരണ ദക്ഷിണേന്ത്യൻ ടിഫിൻ ഇനങ്ങൾ വിളമ്പുന്നു. ഭക്ഷണം താങ്ങാനാവുന്നതും തൃപ്തികരവുമാണ്. സേവനം വേഗതയുള്ളതാണ്. ചെറിയ സ്റ്റോപ്പുകൾക്ക് ഇത് അനുയോജ്യമാണ്.</v>
      </c>
    </row>
    <row r="171">
      <c r="A171" s="6">
        <f t="shared" si="1"/>
        <v>170</v>
      </c>
      <c r="B171" s="6" t="s">
        <v>595</v>
      </c>
      <c r="C171" s="6">
        <v>16.0726518</v>
      </c>
      <c r="D171" s="6">
        <v>78.8714788</v>
      </c>
      <c r="E171" s="5" t="s">
        <v>533</v>
      </c>
      <c r="F171" s="11" t="str">
        <f>IFERROR(__xludf.DUMMYFUNCTION("GOOGLETRANSLATE(B171,""en"",""te"")"),"అమురుత టిఫిన్ సెంటర్")</f>
        <v>అమురుత టిఫిన్ సెంటర్</v>
      </c>
      <c r="G171" s="10" t="str">
        <f>IFERROR(__xludf.DUMMYFUNCTION("GOOGLETRANSLATE(B171,""en"",""hi"")"),"अमरुथा टिफिन सेंटर")</f>
        <v>अमरुथा टिफिन सेंटर</v>
      </c>
      <c r="H171" s="10" t="str">
        <f>IFERROR(__xludf.DUMMYFUNCTION("GOOGLETRANSLATE(B171,""en"",""ta"")"),"அமுருதா டிபன் சென்டர்")</f>
        <v>அமுருதா டிபன் சென்டர்</v>
      </c>
      <c r="I171" s="10" t="str">
        <f>IFERROR(__xludf.DUMMYFUNCTION("GOOGLETRANSLATE(B171,""en"",""kn"")"),"ಅಮುರುಠ ಟಿಫಿನ್ ಸೆಂಟರ್")</f>
        <v>ಅಮುರುಠ ಟಿಫಿನ್ ಸೆಂಟರ್</v>
      </c>
      <c r="J171" s="10" t="str">
        <f>IFERROR(__xludf.DUMMYFUNCTION("GOOGLETRANSLATE(B171,""en"",""ml"")"),"അമുരുത ടിഫിൻ സെന്റർ")</f>
        <v>അമുരുത ടിഫിൻ സെന്റർ</v>
      </c>
      <c r="K171" s="12" t="s">
        <v>596</v>
      </c>
      <c r="L171" s="10" t="str">
        <f>IFERROR(__xludf.DUMMYFUNCTION("GOOGLETRANSLATE(K171,""en"",""te"")"),"అమురుత టిఫిన్ సెంటర్ శాఖాహార టిఫిన్లు మరియు తేలికపాటి భోజనాలను అందిస్తుంది. ఇది ప్రధానంగా ఉదయం వేళల్లో పనిచేస్తుంది.")</f>
        <v>అమురుత టిఫిన్ సెంటర్ శాఖాహార టిఫిన్లు మరియు తేలికపాటి భోజనాలను అందిస్తుంది. ఇది ప్రధానంగా ఉదయం వేళల్లో పనిచేస్తుంది.</v>
      </c>
      <c r="M171" s="10" t="str">
        <f>IFERROR(__xludf.DUMMYFUNCTION("GOOGLETRANSLATE(K171,""en"",""hi"")"),"अमरुथा टिफिन सेंटर शाकाहारी टिफिन और हल्का भोजन उपलब्ध कराता है। यह मुख्य रूप से सुबह के समय संचालित होता है।")</f>
        <v>अमरुथा टिफिन सेंटर शाकाहारी टिफिन और हल्का भोजन उपलब्ध कराता है। यह मुख्य रूप से सुबह के समय संचालित होता है।</v>
      </c>
      <c r="N171" s="10" t="str">
        <f>IFERROR(__xludf.DUMMYFUNCTION("GOOGLETRANSLATE(K171,""en"",""ta"")"),"அமுருதா டிபன் சென்டர் சைவ டிபன்கள் மற்றும் லேசான உணவுகளை வழங்குகிறது. இது முக்கியமாக காலை நேரங்களில் செயல்படுகிறது.")</f>
        <v>அமுருதா டிபன் சென்டர் சைவ டிபன்கள் மற்றும் லேசான உணவுகளை வழங்குகிறது. இது முக்கியமாக காலை நேரங்களில் செயல்படுகிறது.</v>
      </c>
      <c r="O171" s="10" t="str">
        <f>IFERROR(__xludf.DUMMYFUNCTION("GOOGLETRANSLATE(K171,""en"",""kn"")"),"ಅಮೂರುತ ಟಿಫಿನ್ ಸೆಂಟರ್ ಸಸ್ಯಾಹಾರಿ ಟಿಫಿನ್ ಮತ್ತು ಲಘು ಊಟವನ್ನು ಒದಗಿಸುತ್ತದೆ. ಇದು ಮುಖ್ಯವಾಗಿ ಬೆಳಗಿನ ಸಮಯದಲ್ಲಿ ಕಾರ್ಯನಿರ್ವಹಿಸುತ್ತದೆ.")</f>
        <v>ಅಮೂರುತ ಟಿಫಿನ್ ಸೆಂಟರ್ ಸಸ್ಯಾಹಾರಿ ಟಿಫಿನ್ ಮತ್ತು ಲಘು ಊಟವನ್ನು ಒದಗಿಸುತ್ತದೆ. ಇದು ಮುಖ್ಯವಾಗಿ ಬೆಳಗಿನ ಸಮಯದಲ್ಲಿ ಕಾರ್ಯನಿರ್ವಹಿಸುತ್ತದೆ.</v>
      </c>
      <c r="P171" s="10" t="str">
        <f>IFERROR(__xludf.DUMMYFUNCTION("GOOGLETRANSLATE(K171,""en"",""ml"")"),"അമൃത ടിഫിൻ സെന്റർ വെജിറ്റേറിയൻ ടിഫിനുകളും ലഘുഭക്ഷണങ്ങളും നൽകുന്നു. പ്രധാനമായും രാവിലെ സമയങ്ങളിലാണ് ഇത് പ്രവർത്തിക്കുന്നത്.")</f>
        <v>അമൃത ടിഫിൻ സെന്റർ വെജിറ്റേറിയൻ ടിഫിനുകളും ലഘുഭക്ഷണങ്ങളും നൽകുന്നു. പ്രധാനമായും രാവിലെ സമയങ്ങളിലാണ് ഇത് പ്രവർത്തിക്കുന്നത്.</v>
      </c>
    </row>
    <row r="172">
      <c r="A172" s="6">
        <f t="shared" si="1"/>
        <v>171</v>
      </c>
      <c r="B172" s="6" t="s">
        <v>597</v>
      </c>
      <c r="C172" s="6">
        <v>16.0736799</v>
      </c>
      <c r="D172" s="6">
        <v>78.872586</v>
      </c>
      <c r="E172" s="5" t="s">
        <v>533</v>
      </c>
      <c r="F172" s="11" t="str">
        <f>IFERROR(__xludf.DUMMYFUNCTION("GOOGLETRANSLATE(B172,""en"",""te"")"),"శ్రి నందిని ఫుడ్")</f>
        <v>శ్రి నందిని ఫుడ్</v>
      </c>
      <c r="G172" s="10" t="str">
        <f>IFERROR(__xludf.DUMMYFUNCTION("GOOGLETRANSLATE(B172,""en"",""hi"")"),"श्री नंदिनी फूड")</f>
        <v>श्री नंदिनी फूड</v>
      </c>
      <c r="H172" s="10" t="str">
        <f>IFERROR(__xludf.DUMMYFUNCTION("GOOGLETRANSLATE(B172,""en"",""ta"")"),"ஷிரி நந்தினி ஃபுட்")</f>
        <v>ஷிரி நந்தினி ஃபுட்</v>
      </c>
      <c r="I172" s="10" t="str">
        <f>IFERROR(__xludf.DUMMYFUNCTION("GOOGLETRANSLATE(B172,""en"",""kn"")"),"ಶ್ರಿ ನಂಧಿನಿ ಫೂಡ್")</f>
        <v>ಶ್ರಿ ನಂಧಿನಿ ಫೂಡ್</v>
      </c>
      <c r="J172" s="10" t="str">
        <f>IFERROR(__xludf.DUMMYFUNCTION("GOOGLETRANSLATE(B172,""en"",""ml"")"),"ഷ്രി നന്ദിനി ഫൂഡ്")</f>
        <v>ഷ്രി നന്ദിനി ഫൂഡ്</v>
      </c>
      <c r="K172" s="12" t="s">
        <v>598</v>
      </c>
      <c r="L172" s="10" t="str">
        <f>IFERROR(__xludf.DUMMYFUNCTION("GOOGLETRANSLATE(K172,""en"",""te"")"),"శ్రీ నందిని ఫుడ్ సరళమైన శాఖాహార భోజనాన్ని అందిస్తుంది. ఇక్కడ ప్రధాన దృష్టి సాధారణ రోజువారీ ఆహారంపై ఉంటుంది. సీటింగ్ మరియు సేవ ప్రాథమికమైనవి. ఇది పట్టణ ప్రాంతంలో ఉంది.")</f>
        <v>శ్రీ నందిని ఫుడ్ సరళమైన శాఖాహార భోజనాన్ని అందిస్తుంది. ఇక్కడ ప్రధాన దృష్టి సాధారణ రోజువారీ ఆహారంపై ఉంటుంది. సీటింగ్ మరియు సేవ ప్రాథమికమైనవి. ఇది పట్టణ ప్రాంతంలో ఉంది.</v>
      </c>
      <c r="M172" s="10" t="str">
        <f>IFERROR(__xludf.DUMMYFUNCTION("GOOGLETRANSLATE(K172,""en"",""hi"")"),"श्री नंदिनी फूड में साधारण शाकाहारी भोजन परोसा जाता है। यहाँ मुख्य रूप से दैनिक भोजन उपलब्ध कराया जाता है। बैठने की व्यवस्था और सेवा सामान्य स्तर की है। यह शहर के भीतर स्थित है।")</f>
        <v>श्री नंदिनी फूड में साधारण शाकाहारी भोजन परोसा जाता है। यहाँ मुख्य रूप से दैनिक भोजन उपलब्ध कराया जाता है। बैठने की व्यवस्था और सेवा सामान्य स्तर की है। यह शहर के भीतर स्थित है।</v>
      </c>
      <c r="N172" s="10" t="str">
        <f>IFERROR(__xludf.DUMMYFUNCTION("GOOGLETRANSLATE(K172,""en"",""ta"")"),"ஸ்ரீ நந்தினி ஃபுட் எளிய சைவ உணவுகளை வழங்குகிறது. வழக்கமான தினசரி உணவில் கவனம் செலுத்தப்படுகிறது. இருக்கை வசதி மற்றும் சேவை அடிப்படையானது. இது நகரப் பகுதிக்குள் அமைந்துள்ளது.")</f>
        <v>ஸ்ரீ நந்தினி ஃபுட் எளிய சைவ உணவுகளை வழங்குகிறது. வழக்கமான தினசரி உணவில் கவனம் செலுத்தப்படுகிறது. இருக்கை வசதி மற்றும் சேவை அடிப்படையானது. இது நகரப் பகுதிக்குள் அமைந்துள்ளது.</v>
      </c>
      <c r="O172" s="10" t="str">
        <f>IFERROR(__xludf.DUMMYFUNCTION("GOOGLETRANSLATE(K172,""en"",""kn"")"),"ಶ್ರೀ ನಂದಿನಿ ಫುಡ್ ಸರಳ ಸಸ್ಯಾಹಾರಿ ಊಟಗಳನ್ನು ಒದಗಿಸುತ್ತದೆ. ನಿಯಮಿತ ದೈನಂದಿನ ಆಹಾರದ ಮೇಲೆ ಗಮನ ಕೇಂದ್ರೀಕರಿಸಲಾಗಿದೆ. ಆಸನ ಮತ್ತು ಸೇವೆ ಮೂಲಭೂತವಾಗಿದೆ. ಇದು ಪಟ್ಟಣದ ಪ್ರದೇಶದಲ್ಲಿದೆ.")</f>
        <v>ಶ್ರೀ ನಂದಿನಿ ಫುಡ್ ಸರಳ ಸಸ್ಯಾಹಾರಿ ಊಟಗಳನ್ನು ಒದಗಿಸುತ್ತದೆ. ನಿಯಮಿತ ದೈನಂದಿನ ಆಹಾರದ ಮೇಲೆ ಗಮನ ಕೇಂದ್ರೀಕರಿಸಲಾಗಿದೆ. ಆಸನ ಮತ್ತು ಸೇವೆ ಮೂಲಭೂತವಾಗಿದೆ. ಇದು ಪಟ್ಟಣದ ಪ್ರದೇಶದಲ್ಲಿದೆ.</v>
      </c>
      <c r="P172" s="10" t="str">
        <f>IFERROR(__xludf.DUMMYFUNCTION("GOOGLETRANSLATE(K172,""en"",""ml"")"),"ശ്രീ നന്ദിനി ഫുഡ് ലളിതമായ സസ്യാഹാരം വിളമ്പുന്നു. പതിവ് ദൈനംദിന ഭക്ഷണത്തിലാണ് ശ്രദ്ധ കേന്ദ്രീകരിക്കുന്നത്. ഇരിപ്പിടവും സേവനവും അടിസ്ഥാനപരമാണ്. ഇത് പട്ടണപ്രദേശത്താണ് സ്ഥിതി ചെയ്യുന്നത്.")</f>
        <v>ശ്രീ നന്ദിനി ഫുഡ് ലളിതമായ സസ്യാഹാരം വിളമ്പുന്നു. പതിവ് ദൈനംദിന ഭക്ഷണത്തിലാണ് ശ്രദ്ധ കേന്ദ്രീകരിക്കുന്നത്. ഇരിപ്പിടവും സേവനവും അടിസ്ഥാനപരമാണ്. ഇത് പട്ടണപ്രദേശത്താണ് സ്ഥിതി ചെയ്യുന്നത്.</v>
      </c>
    </row>
    <row r="173">
      <c r="A173" s="6">
        <f t="shared" si="1"/>
        <v>172</v>
      </c>
      <c r="B173" s="6" t="s">
        <v>599</v>
      </c>
      <c r="C173" s="6">
        <v>16.0733093</v>
      </c>
      <c r="D173" s="6">
        <v>78.8724924</v>
      </c>
      <c r="E173" s="5" t="s">
        <v>533</v>
      </c>
      <c r="F173" s="8" t="s">
        <v>600</v>
      </c>
      <c r="G173" s="8" t="s">
        <v>601</v>
      </c>
      <c r="H173" s="10" t="str">
        <f>IFERROR(__xludf.DUMMYFUNCTION("GOOGLETRANSLATE(B173,""en"",""ta"")"),"நாயுடுவின் ஹோட்டல்")</f>
        <v>நாயுடுவின் ஹோட்டல்</v>
      </c>
      <c r="I173" s="8" t="s">
        <v>602</v>
      </c>
      <c r="J173" s="8" t="s">
        <v>603</v>
      </c>
      <c r="K173" s="12" t="s">
        <v>604</v>
      </c>
      <c r="L173" s="10" t="str">
        <f>IFERROR(__xludf.DUMMYFUNCTION("GOOGLETRANSLATE(K173,""en"",""te"")"),"నాయుడుస్ హోటల్ దక్షిణ భారత భోజనాలు మరియు అల్పాహార ఎంపికలను అందిస్తుంది. భోజన ప్రాంతం నిరాడంబరంగా ఉంటుంది.")</f>
        <v>నాయుడుస్ హోటల్ దక్షిణ భారత భోజనాలు మరియు అల్పాహార ఎంపికలను అందిస్తుంది. భోజన ప్రాంతం నిరాడంబరంగా ఉంటుంది.</v>
      </c>
      <c r="M173" s="10" t="str">
        <f>IFERROR(__xludf.DUMMYFUNCTION("GOOGLETRANSLATE(K173,""en"",""hi"")"),"नायडू होटल में दक्षिण भारतीय भोजन और नाश्ते के विकल्प उपलब्ध हैं। भोजन कक्ष सादा है।")</f>
        <v>नायडू होटल में दक्षिण भारतीय भोजन और नाश्ते के विकल्प उपलब्ध हैं। भोजन कक्ष सादा है।</v>
      </c>
      <c r="N173" s="10" t="str">
        <f>IFERROR(__xludf.DUMMYFUNCTION("GOOGLETRANSLATE(K173,""en"",""ta"")"),"நாயுடுவின் ஹோட்டல் தென்னிந்திய உணவுகள் மற்றும் காலை உணவு விருப்பங்களை வழங்குகிறது. உணவருந்தும் பகுதி எளிமையானது.")</f>
        <v>நாயுடுவின் ஹோட்டல் தென்னிந்திய உணவுகள் மற்றும் காலை உணவு விருப்பங்களை வழங்குகிறது. உணவருந்தும் பகுதி எளிமையானது.</v>
      </c>
      <c r="O173" s="10" t="str">
        <f>IFERROR(__xludf.DUMMYFUNCTION("GOOGLETRANSLATE(K173,""en"",""kn"")"),"ನಾಯ್ಡು ಅವರ ಹೋಟೆಲ್ ದಕ್ಷಿಣ ಭಾರತೀಯ ಊಟ ಮತ್ತು ಉಪಾಹಾರ ಆಯ್ಕೆಗಳನ್ನು ನೀಡುತ್ತದೆ. ಊಟದ ಪ್ರದೇಶವು ಸಾಧಾರಣವಾಗಿದೆ.")</f>
        <v>ನಾಯ್ಡು ಅವರ ಹೋಟೆಲ್ ದಕ್ಷಿಣ ಭಾರತೀಯ ಊಟ ಮತ್ತು ಉಪಾಹಾರ ಆಯ್ಕೆಗಳನ್ನು ನೀಡುತ್ತದೆ. ಊಟದ ಪ್ರದೇಶವು ಸಾಧಾರಣವಾಗಿದೆ.</v>
      </c>
      <c r="P173" s="10" t="str">
        <f>IFERROR(__xludf.DUMMYFUNCTION("GOOGLETRANSLATE(K173,""en"",""ml"")"),"നായിഡുസ് ഹോട്ടൽ ദക്ഷിണേന്ത്യൻ ഭക്ഷണങ്ങളും പ്രഭാതഭക്ഷണ ഓപ്ഷനുകളും വാഗ്ദാനം ചെയ്യുന്നു. ഡൈനിംഗ് ഏരിയ വളരെ ചെറുതാണ്.")</f>
        <v>നായിഡുസ് ഹോട്ടൽ ദക്ഷിണേന്ത്യൻ ഭക്ഷണങ്ങളും പ്രഭാതഭക്ഷണ ഓപ്ഷനുകളും വാഗ്ദാനം ചെയ്യുന്നു. ഡൈനിംഗ് ഏരിയ വളരെ ചെറുതാണ്.</v>
      </c>
    </row>
    <row r="174">
      <c r="A174" s="6">
        <f t="shared" si="1"/>
        <v>173</v>
      </c>
      <c r="B174" s="6" t="s">
        <v>605</v>
      </c>
      <c r="C174" s="6">
        <v>16.0731067</v>
      </c>
      <c r="D174" s="6">
        <v>78.8725055</v>
      </c>
      <c r="E174" s="5" t="s">
        <v>533</v>
      </c>
      <c r="F174" s="11" t="str">
        <f>IFERROR(__xludf.DUMMYFUNCTION("GOOGLETRANSLATE(B174,""en"",""te"")"),"నందిని టీ పాయింట్")</f>
        <v>నందిని టీ పాయింట్</v>
      </c>
      <c r="G174" s="10" t="str">
        <f>IFERROR(__xludf.DUMMYFUNCTION("GOOGLETRANSLATE(B174,""en"",""hi"")"),"नंदिनी टी पॉइंट")</f>
        <v>नंदिनी टी पॉइंट</v>
      </c>
      <c r="H174" s="10" t="str">
        <f>IFERROR(__xludf.DUMMYFUNCTION("GOOGLETRANSLATE(B174,""en"",""ta"")"),"நந்தினி தேநீர் முனையம்")</f>
        <v>நந்தினி தேநீர் முனையம்</v>
      </c>
      <c r="I174" s="10" t="str">
        <f>IFERROR(__xludf.DUMMYFUNCTION("GOOGLETRANSLATE(B174,""en"",""kn"")"),"ನಂದಿನಿ ಟೀ ಪಾಯಿಂಟ್")</f>
        <v>ನಂದಿನಿ ಟೀ ಪಾಯಿಂಟ್</v>
      </c>
      <c r="J174" s="10" t="str">
        <f>IFERROR(__xludf.DUMMYFUNCTION("GOOGLETRANSLATE(B174,""en"",""ml"")"),"നന്ദിനി ടീ പോയിന്റ്")</f>
        <v>നന്ദിനി ടീ പോയിന്റ്</v>
      </c>
      <c r="K174" s="12" t="s">
        <v>606</v>
      </c>
      <c r="L174" s="10" t="str">
        <f>IFERROR(__xludf.DUMMYFUNCTION("GOOGLETRANSLATE(K174,""en"",""te"")"),"నందిని టీ పాయింట్ అనేది టీ మరియు తేలికపాటి రిఫ్రెష్మెంట్లను అందించే ఒక చిన్న స్టాల్. దీనిని చిన్న విరామాలకు ఉపయోగిస్తారు. సీటింగ్ చాలా తక్కువ. సర్వీస్ త్వరగా లభిస్తుంది.")</f>
        <v>నందిని టీ పాయింట్ అనేది టీ మరియు తేలికపాటి రిఫ్రెష్మెంట్లను అందించే ఒక చిన్న స్టాల్. దీనిని చిన్న విరామాలకు ఉపయోగిస్తారు. సీటింగ్ చాలా తక్కువ. సర్వీస్ త్వరగా లభిస్తుంది.</v>
      </c>
      <c r="M174" s="10" t="str">
        <f>IFERROR(__xludf.DUMMYFUNCTION("GOOGLETRANSLATE(K174,""en"",""hi"")"),"नंदिनी टी पॉइंट एक छोटा सा स्टॉल है जहाँ चाय और हल्के नाश्ते मिलते हैं। यहाँ लोग थोड़े समय के लिए आराम कर सकते हैं। बैठने की जगह सीमित है। सेवा त्वरित है।")</f>
        <v>नंदिनी टी पॉइंट एक छोटा सा स्टॉल है जहाँ चाय और हल्के नाश्ते मिलते हैं। यहाँ लोग थोड़े समय के लिए आराम कर सकते हैं। बैठने की जगह सीमित है। सेवा त्वरित है।</v>
      </c>
      <c r="N174" s="10" t="str">
        <f>IFERROR(__xludf.DUMMYFUNCTION("GOOGLETRANSLATE(K174,""en"",""ta"")"),"நந்தினி டீ பாயிண்ட் என்பது தேநீர் மற்றும் லேசான சிற்றுண்டிகளை வழங்கும் ஒரு சிறிய கடை. இது குறுகிய இடைவேளைகளுக்குப் பயன்படுத்தப்படுகிறது. இருக்கைகள் மிகக் குறைவு. சேவை விரைவானது.")</f>
        <v>நந்தினி டீ பாயிண்ட் என்பது தேநீர் மற்றும் லேசான சிற்றுண்டிகளை வழங்கும் ஒரு சிறிய கடை. இது குறுகிய இடைவேளைகளுக்குப் பயன்படுத்தப்படுகிறது. இருக்கைகள் மிகக் குறைவு. சேவை விரைவானது.</v>
      </c>
      <c r="O174" s="10" t="str">
        <f>IFERROR(__xludf.DUMMYFUNCTION("GOOGLETRANSLATE(K174,""en"",""kn"")"),"ನಂದಿನಿ ಟೀ ಪಾಯಿಂಟ್ ಚಹಾ ಮತ್ತು ಲಘು ಪಾನೀಯಗಳನ್ನು ಒದಗಿಸುವ ಒಂದು ಸಣ್ಣ ಅಂಗಡಿಯಾಗಿದೆ. ಇದನ್ನು ಸಣ್ಣ ವಿರಾಮಗಳಿಗೆ ಬಳಸಲಾಗುತ್ತದೆ. ಆಸನಗಳು ಕಡಿಮೆ. ಸೇವೆ ತ್ವರಿತವಾಗಿದೆ.")</f>
        <v>ನಂದಿನಿ ಟೀ ಪಾಯಿಂಟ್ ಚಹಾ ಮತ್ತು ಲಘು ಪಾನೀಯಗಳನ್ನು ಒದಗಿಸುವ ಒಂದು ಸಣ್ಣ ಅಂಗಡಿಯಾಗಿದೆ. ಇದನ್ನು ಸಣ್ಣ ವಿರಾಮಗಳಿಗೆ ಬಳಸಲಾಗುತ್ತದೆ. ಆಸನಗಳು ಕಡಿಮೆ. ಸೇವೆ ತ್ವರಿತವಾಗಿದೆ.</v>
      </c>
      <c r="P174" s="10" t="str">
        <f>IFERROR(__xludf.DUMMYFUNCTION("GOOGLETRANSLATE(K174,""en"",""ml"")"),"നന്ദിനി ടീ പോയിന്റ് ചായയും ലഘുഭക്ഷണങ്ങളും വിളമ്പുന്ന ഒരു ചെറിയ സ്റ്റാളാണ്. ചെറിയ ഇടവേളകൾക്ക് ഇത് ഉപയോഗിക്കുന്നു. ഇരിപ്പിടങ്ങൾ കുറവാണ്. സേവനം വേഗത്തിലാണ്.")</f>
        <v>നന്ദിനി ടീ പോയിന്റ് ചായയും ലഘുഭക്ഷണങ്ങളും വിളമ്പുന്ന ഒരു ചെറിയ സ്റ്റാളാണ്. ചെറിയ ഇടവേളകൾക്ക് ഇത് ഉപയോഗിക്കുന്നു. ഇരിപ്പിടങ്ങൾ കുറവാണ്. സേവനം വേഗത്തിലാണ്.</v>
      </c>
    </row>
    <row r="175">
      <c r="A175" s="6">
        <f t="shared" si="1"/>
        <v>174</v>
      </c>
      <c r="B175" s="6" t="s">
        <v>607</v>
      </c>
      <c r="C175" s="6">
        <v>16.0723341</v>
      </c>
      <c r="D175" s="6">
        <v>78.8692926</v>
      </c>
      <c r="E175" s="5" t="s">
        <v>533</v>
      </c>
      <c r="F175" s="8" t="s">
        <v>608</v>
      </c>
      <c r="G175" s="8" t="s">
        <v>609</v>
      </c>
      <c r="H175" s="8" t="s">
        <v>610</v>
      </c>
      <c r="I175" s="8" t="s">
        <v>611</v>
      </c>
      <c r="J175" s="8" t="s">
        <v>612</v>
      </c>
      <c r="K175" s="12" t="s">
        <v>613</v>
      </c>
      <c r="L175" s="10" t="str">
        <f>IFERROR(__xludf.DUMMYFUNCTION("GOOGLETRANSLATE(K175,""en"",""te"")"),"నంబర్ 1 టీ స్టాల్ టీ మరియు ప్రాథమిక స్నాక్స్ అందిస్తుంది. ఇది పరిమిత సీటింగ్‌తో కూడిన చిన్న సెటప్‌ను కలిగి ఉంది.")</f>
        <v>నంబర్ 1 టీ స్టాల్ టీ మరియు ప్రాథమిక స్నాక్స్ అందిస్తుంది. ఇది పరిమిత సీటింగ్‌తో కూడిన చిన్న సెటప్‌ను కలిగి ఉంది.</v>
      </c>
      <c r="M175" s="10" t="str">
        <f>IFERROR(__xludf.DUMMYFUNCTION("GOOGLETRANSLATE(K175,""en"",""hi"")"),"नंबर 1 टी स्टॉल पर चाय और साधारण नाश्ता मिलता है। यह एक छोटा सा स्थान है जिसमें बैठने की सीमित व्यवस्था है।")</f>
        <v>नंबर 1 टी स्टॉल पर चाय और साधारण नाश्ता मिलता है। यह एक छोटा सा स्थान है जिसमें बैठने की सीमित व्यवस्था है।</v>
      </c>
      <c r="N175" s="10" t="str">
        <f>IFERROR(__xludf.DUMMYFUNCTION("GOOGLETRANSLATE(K175,""en"",""ta"")"),"முதல் தேநீர் கடையில் தேநீர் மற்றும் அடிப்படை சிற்றுண்டிகள் வழங்கப்படுகின்றன. இது குறைந்த இருக்கைகளுடன் கூடிய சிறிய அமைப்பைக் கொண்டுள்ளது.")</f>
        <v>முதல் தேநீர் கடையில் தேநீர் மற்றும் அடிப்படை சிற்றுண்டிகள் வழங்கப்படுகின்றன. இது குறைந்த இருக்கைகளுடன் கூடிய சிறிய அமைப்பைக் கொண்டுள்ளது.</v>
      </c>
      <c r="O175" s="10" t="str">
        <f>IFERROR(__xludf.DUMMYFUNCTION("GOOGLETRANSLATE(K175,""en"",""kn"")"),"ನಂಬರ್ 1 ಟೀ ಸ್ಟಾಲ್ ಚಹಾ ಮತ್ತು ಮೂಲಭೂತ ತಿಂಡಿಗಳನ್ನು ಒದಗಿಸುತ್ತದೆ. ಇದು ಸೀಮಿತ ಆಸನಗಳನ್ನು ಹೊಂದಿರುವ ಸಣ್ಣ ಸೆಟಪ್ ಅನ್ನು ಹೊಂದಿದೆ.")</f>
        <v>ನಂಬರ್ 1 ಟೀ ಸ್ಟಾಲ್ ಚಹಾ ಮತ್ತು ಮೂಲಭೂತ ತಿಂಡಿಗಳನ್ನು ಒದಗಿಸುತ್ತದೆ. ಇದು ಸೀಮಿತ ಆಸನಗಳನ್ನು ಹೊಂದಿರುವ ಸಣ್ಣ ಸೆಟಪ್ ಅನ್ನು ಹೊಂದಿದೆ.</v>
      </c>
      <c r="P175" s="10" t="str">
        <f>IFERROR(__xludf.DUMMYFUNCTION("GOOGLETRANSLATE(K175,""en"",""ml"")"),"ഒന്നാം നമ്പർ ചായക്കടയിൽ ചായയും ലഘുഭക്ഷണങ്ങളും ലഭ്യമാണ്. പരിമിതമായ ഇരിപ്പിടങ്ങളുള്ള ഒരു ചെറിയ സജ്ജീകരണമേയുള്ളൂ.")</f>
        <v>ഒന്നാം നമ്പർ ചായക്കടയിൽ ചായയും ലഘുഭക്ഷണങ്ങളും ലഭ്യമാണ്. പരിമിതമായ ഇരിപ്പിടങ്ങളുള്ള ഒരു ചെറിയ സജ്ജീകരണമേയുള്ളൂ.</v>
      </c>
    </row>
    <row r="176">
      <c r="A176" s="6">
        <f t="shared" si="1"/>
        <v>175</v>
      </c>
      <c r="B176" s="6" t="s">
        <v>614</v>
      </c>
      <c r="C176" s="6">
        <v>16.0856682</v>
      </c>
      <c r="D176" s="6">
        <v>78.8996942</v>
      </c>
      <c r="E176" s="5" t="s">
        <v>533</v>
      </c>
      <c r="F176" s="11" t="str">
        <f>IFERROR(__xludf.DUMMYFUNCTION("GOOGLETRANSLATE(B176,""en"",""te"")"),"టీ విరామం")</f>
        <v>టీ విరామం</v>
      </c>
      <c r="G176" s="10" t="str">
        <f>IFERROR(__xludf.DUMMYFUNCTION("GOOGLETRANSLATE(B176,""en"",""hi"")"),"चाय ब्रेक")</f>
        <v>चाय ब्रेक</v>
      </c>
      <c r="H176" s="10" t="str">
        <f>IFERROR(__xludf.DUMMYFUNCTION("GOOGLETRANSLATE(B176,""en"",""ta"")"),"தேநீர் இடைவேளை")</f>
        <v>தேநீர் இடைவேளை</v>
      </c>
      <c r="I176" s="10" t="str">
        <f>IFERROR(__xludf.DUMMYFUNCTION("GOOGLETRANSLATE(B176,""en"",""kn"")"),"ಟೀ ವಿರಾಮ")</f>
        <v>ಟೀ ವಿರಾಮ</v>
      </c>
      <c r="J176" s="10" t="str">
        <f>IFERROR(__xludf.DUMMYFUNCTION("GOOGLETRANSLATE(B176,""en"",""ml"")"),"ചായ ഇടവേള")</f>
        <v>ചായ ഇടവേള</v>
      </c>
      <c r="K176" s="12" t="s">
        <v>615</v>
      </c>
      <c r="L176" s="10" t="str">
        <f>IFERROR(__xludf.DUMMYFUNCTION("GOOGLETRANSLATE(K176,""en"",""te"")"),"టీ బ్రేక్ అనేది టీ మరియు స్నాక్స్ అందించే రిఫ్రెష్‌మెంట్ పాయింట్. ఇది త్వరగా ఆగే వారి కోసం ఉద్దేశించబడింది. సీట్లు పరిమితంగా ఉండవచ్చు. ఇది రద్దీగా ఉండే నడక ప్రాంతాలకు సమీపంలో ఉంది.")</f>
        <v>టీ బ్రేక్ అనేది టీ మరియు స్నాక్స్ అందించే రిఫ్రెష్‌మెంట్ పాయింట్. ఇది త్వరగా ఆగే వారి కోసం ఉద్దేశించబడింది. సీట్లు పరిమితంగా ఉండవచ్చు. ఇది రద్దీగా ఉండే నడక ప్రాంతాలకు సమీపంలో ఉంది.</v>
      </c>
      <c r="M176" s="10" t="str">
        <f>IFERROR(__xludf.DUMMYFUNCTION("GOOGLETRANSLATE(K176,""en"",""hi"")"),"टी ब्रेक एक ऐसा स्थान है जहाँ चाय और नाश्ता मिलता है। यह थोड़ी देर रुकने के लिए उपयुक्त है। बैठने की जगह सीमित हो सकती है। यह व्यस्त पैदल मार्गों के पास स्थित है।")</f>
        <v>टी ब्रेक एक ऐसा स्थान है जहाँ चाय और नाश्ता मिलता है। यह थोड़ी देर रुकने के लिए उपयुक्त है। बैठने की जगह सीमित हो सकती है। यह व्यस्त पैदल मार्गों के पास स्थित है।</v>
      </c>
      <c r="N176" s="10" t="str">
        <f>IFERROR(__xludf.DUMMYFUNCTION("GOOGLETRANSLATE(K176,""en"",""ta"")"),"தேநீர் இடைவேளை என்பது தேநீர் மற்றும் சிற்றுண்டிகளை வழங்கும் ஒரு புத்துணர்ச்சி மையமாகும். இது விரைவான நிறுத்தங்களுக்காக வடிவமைக்கப்பட்டுள்ளது. இருக்கைகள் குறைவாக இருக்கலாம். இது பரபரப்பான நடைப்பயிற்சி பகுதிகளுக்கு அருகில் அமைந்துள்ளது.")</f>
        <v>தேநீர் இடைவேளை என்பது தேநீர் மற்றும் சிற்றுண்டிகளை வழங்கும் ஒரு புத்துணர்ச்சி மையமாகும். இது விரைவான நிறுத்தங்களுக்காக வடிவமைக்கப்பட்டுள்ளது. இருக்கைகள் குறைவாக இருக்கலாம். இது பரபரப்பான நடைப்பயிற்சி பகுதிகளுக்கு அருகில் அமைந்துள்ளது.</v>
      </c>
      <c r="O176" s="10" t="str">
        <f>IFERROR(__xludf.DUMMYFUNCTION("GOOGLETRANSLATE(K176,""en"",""kn"")"),"ಟೀ ಬ್ರೇಕ್ ಎಂಬುದು ಚಹಾ ಮತ್ತು ತಿಂಡಿಗಳನ್ನು ನೀಡುವ ರಿಫ್ರೆಶ್‌ಮೆಂಟ್ ಕೇಂದ್ರವಾಗಿದೆ. ಇದು ತ್ವರಿತ ನಿಲ್ದಾಣಗಳಿಗಾಗಿ ಉದ್ದೇಶಿಸಲಾಗಿದೆ. ಆಸನಗಳು ಸೀಮಿತವಾಗಿರಬಹುದು. ಇದು ಜನನಿಬಿಡ ವಾಕಿಂಗ್ ಪ್ರದೇಶಗಳ ಬಳಿ ಇದೆ.")</f>
        <v>ಟೀ ಬ್ರೇಕ್ ಎಂಬುದು ಚಹಾ ಮತ್ತು ತಿಂಡಿಗಳನ್ನು ನೀಡುವ ರಿಫ್ರೆಶ್‌ಮೆಂಟ್ ಕೇಂದ್ರವಾಗಿದೆ. ಇದು ತ್ವರಿತ ನಿಲ್ದಾಣಗಳಿಗಾಗಿ ಉದ್ದೇಶಿಸಲಾಗಿದೆ. ಆಸನಗಳು ಸೀಮಿತವಾಗಿರಬಹುದು. ಇದು ಜನನಿಬಿಡ ವಾಕಿಂಗ್ ಪ್ರದೇಶಗಳ ಬಳಿ ಇದೆ.</v>
      </c>
      <c r="P176" s="10" t="str">
        <f>IFERROR(__xludf.DUMMYFUNCTION("GOOGLETRANSLATE(K176,""en"",""ml"")"),"ചായയും ലഘുഭക്ഷണവും വാഗ്ദാനം ചെയ്യുന്ന ഒരു റിഫ്രഷ്‌മെന്റ് പോയിന്റാണ് ടീ ബ്രേക്ക്. പെട്ടെന്ന് നിർത്താൻ വേണ്ടിയുള്ളതാണ് ഇത്. ഇരിപ്പിടങ്ങൾ പരിമിതമായിരിക്കാം. തിരക്കേറിയ നടത്ത സ്ഥലങ്ങൾക്ക് സമീപമാണ് ഇത് സ്ഥിതി ചെയ്യുന്നത്.")</f>
        <v>ചായയും ലഘുഭക്ഷണവും വാഗ്ദാനം ചെയ്യുന്ന ഒരു റിഫ്രഷ്‌മെന്റ് പോയിന്റാണ് ടീ ബ്രേക്ക്. പെട്ടെന്ന് നിർത്താൻ വേണ്ടിയുള്ളതാണ് ഇത്. ഇരിപ്പിടങ്ങൾ പരിമിതമായിരിക്കാം. തിരക്കേറിയ നടത്ത സ്ഥലങ്ങൾക്ക് സമീപമാണ് ഇത് സ്ഥിതി ചെയ്യുന്നത്.</v>
      </c>
    </row>
    <row r="177">
      <c r="A177" s="6">
        <f t="shared" si="1"/>
        <v>176</v>
      </c>
      <c r="B177" s="6" t="s">
        <v>616</v>
      </c>
      <c r="C177" s="6">
        <v>16.0767153</v>
      </c>
      <c r="D177" s="6">
        <v>78.875651</v>
      </c>
      <c r="E177" s="5" t="s">
        <v>533</v>
      </c>
      <c r="F177" s="11" t="str">
        <f>IFERROR(__xludf.DUMMYFUNCTION("GOOGLETRANSLATE(B177,""en"",""te"")"),"శ్రీ గిరి జ్యూస్ షాప్")</f>
        <v>శ్రీ గిరి జ్యూస్ షాప్</v>
      </c>
      <c r="G177" s="10" t="str">
        <f>IFERROR(__xludf.DUMMYFUNCTION("GOOGLETRANSLATE(B177,""en"",""hi"")"),"श्री गिरी जूस शॉप")</f>
        <v>श्री गिरी जूस शॉप</v>
      </c>
      <c r="H177" s="10" t="str">
        <f>IFERROR(__xludf.DUMMYFUNCTION("GOOGLETRANSLATE(B177,""en"",""ta"")"),"ஸ்ரீ கிரி ஜூஸ் கடை")</f>
        <v>ஸ்ரீ கிரி ஜூஸ் கடை</v>
      </c>
      <c r="I177" s="10" t="str">
        <f>IFERROR(__xludf.DUMMYFUNCTION("GOOGLETRANSLATE(B177,""en"",""kn"")"),"ಶ್ರಿ ಗಿರಿ ಜೂಸ್ ಶಾಪ್")</f>
        <v>ಶ್ರಿ ಗಿರಿ ಜೂಸ್ ಶಾಪ್</v>
      </c>
      <c r="J177" s="10" t="str">
        <f>IFERROR(__xludf.DUMMYFUNCTION("GOOGLETRANSLATE(B177,""en"",""ml"")"),"ഷ്രി ഗിരി ജ്യൂസ് ഷോപ്പ്")</f>
        <v>ഷ്രി ഗിരി ജ്യൂസ് ഷോപ്പ്</v>
      </c>
      <c r="K177" s="12" t="s">
        <v>617</v>
      </c>
      <c r="L177" s="10" t="str">
        <f>IFERROR(__xludf.DUMMYFUNCTION("GOOGLETRANSLATE(K177,""en"",""te"")"),"శ్రీ గిరి జ్యూస్ షాప్ తాజా పండ్ల రసాలు మరియు పానీయాలను అందిస్తుంది. ఇది పగటిపూట ప్రసిద్ధి చెందింది. సేవ త్వరగా ఉంటుంది. ఇది సందర్శకులకు ఉపాహారాన్ని అందిస్తుంది.")</f>
        <v>శ్రీ గిరి జ్యూస్ షాప్ తాజా పండ్ల రసాలు మరియు పానీయాలను అందిస్తుంది. ఇది పగటిపూట ప్రసిద్ధి చెందింది. సేవ త్వరగా ఉంటుంది. ఇది సందర్శకులకు ఉపాహారాన్ని అందిస్తుంది.</v>
      </c>
      <c r="M177" s="10" t="str">
        <f>IFERROR(__xludf.DUMMYFUNCTION("GOOGLETRANSLATE(K177,""en"",""hi"")"),"श्री गिरि जूस शॉप में ताजे फलों के जूस और पेय पदार्थ मिलते हैं। यह दिन के समय काफी लोकप्रिय है। यहाँ सेवा त्वरित है और आगंतुकों को ताजगी प्रदान करती है।")</f>
        <v>श्री गिरि जूस शॉप में ताजे फलों के जूस और पेय पदार्थ मिलते हैं। यह दिन के समय काफी लोकप्रिय है। यहाँ सेवा त्वरित है और आगंतुकों को ताजगी प्रदान करती है।</v>
      </c>
      <c r="N177" s="10" t="str">
        <f>IFERROR(__xludf.DUMMYFUNCTION("GOOGLETRANSLATE(K177,""en"",""ta"")"),"ஸ்ரீ கிரி ஜூஸ் கடை புதிய பழச்சாறுகள் மற்றும் பானங்களை வழங்குகிறது. இது பகல் நேரத்தில் பிரபலமானது. சேவை விரைவானது. இது பார்வையாளர்களுக்கு புத்துணர்ச்சியை வழங்குகிறது.")</f>
        <v>ஸ்ரீ கிரி ஜூஸ் கடை புதிய பழச்சாறுகள் மற்றும் பானங்களை வழங்குகிறது. இது பகல் நேரத்தில் பிரபலமானது. சேவை விரைவானது. இது பார்வையாளர்களுக்கு புத்துணர்ச்சியை வழங்குகிறது.</v>
      </c>
      <c r="O177" s="10" t="str">
        <f>IFERROR(__xludf.DUMMYFUNCTION("GOOGLETRANSLATE(K177,""en"",""kn"")"),"ಶ್ರೀ ಗಿರಿ ಜ್ಯೂಸ್ ಅಂಗಡಿ ತಾಜಾ ಹಣ್ಣಿನ ರಸಗಳು ಮತ್ತು ಪಾನೀಯಗಳನ್ನು ಒದಗಿಸುತ್ತದೆ. ಇದು ಹಗಲಿನ ವೇಳೆಯಲ್ಲಿ ಜನಪ್ರಿಯವಾಗಿದೆ. ಸೇವೆ ತ್ವರಿತವಾಗಿದೆ. ಇದು ಸಂದರ್ಶಕರಿಗೆ ಉಲ್ಲಾಸವನ್ನು ಒದಗಿಸುತ್ತದೆ.")</f>
        <v>ಶ್ರೀ ಗಿರಿ ಜ್ಯೂಸ್ ಅಂಗಡಿ ತಾಜಾ ಹಣ್ಣಿನ ರಸಗಳು ಮತ್ತು ಪಾನೀಯಗಳನ್ನು ಒದಗಿಸುತ್ತದೆ. ಇದು ಹಗಲಿನ ವೇಳೆಯಲ್ಲಿ ಜನಪ್ರಿಯವಾಗಿದೆ. ಸೇವೆ ತ್ವರಿತವಾಗಿದೆ. ಇದು ಸಂದರ್ಶಕರಿಗೆ ಉಲ್ಲಾಸವನ್ನು ಒದಗಿಸುತ್ತದೆ.</v>
      </c>
      <c r="P177" s="10" t="str">
        <f>IFERROR(__xludf.DUMMYFUNCTION("GOOGLETRANSLATE(K177,""en"",""ml"")"),"ശ്രീ ഗിരി ജ്യൂസ് ഷോപ്പ് ഫ്രഷ് ഫ്രൂട്ട് ജ്യൂസുകളും പാനീയങ്ങളും നൽകുന്നു. പകൽ സമയത്ത് ഇത് ജനപ്രിയമാണ്. സേവനം വളരെ വേഗത്തിലാണ്. സന്ദർശകർക്ക് ഇത് റിഫ്രഷ്മെന്റ് നൽകുന്നു.")</f>
        <v>ശ്രീ ഗിരി ജ്യൂസ് ഷോപ്പ് ഫ്രഷ് ഫ്രൂട്ട് ജ്യൂസുകളും പാനീയങ്ങളും നൽകുന്നു. പകൽ സമയത്ത് ഇത് ജനപ്രിയമാണ്. സേവനം വളരെ വേഗത്തിലാണ്. സന്ദർശകർക്ക് ഇത് റിഫ്രഷ്മെന്റ് നൽകുന്നു.</v>
      </c>
    </row>
    <row r="178">
      <c r="A178" s="6">
        <f t="shared" si="1"/>
        <v>177</v>
      </c>
      <c r="B178" s="6" t="s">
        <v>618</v>
      </c>
      <c r="C178" s="6">
        <v>16.0686733</v>
      </c>
      <c r="D178" s="6">
        <v>78.8685894</v>
      </c>
      <c r="E178" s="5" t="s">
        <v>533</v>
      </c>
      <c r="F178" s="11" t="str">
        <f>IFERROR(__xludf.DUMMYFUNCTION("GOOGLETRANSLATE(B178,""en"",""te"")"),"రంజిత్ జ్యూస్ సెంటర్")</f>
        <v>రంజిత్ జ్యూస్ సెంటర్</v>
      </c>
      <c r="G178" s="10" t="str">
        <f>IFERROR(__xludf.DUMMYFUNCTION("GOOGLETRANSLATE(B178,""en"",""hi"")"),"रणजीत जूस सेंटर")</f>
        <v>रणजीत जूस सेंटर</v>
      </c>
      <c r="H178" s="10" t="str">
        <f>IFERROR(__xludf.DUMMYFUNCTION("GOOGLETRANSLATE(B178,""en"",""ta"")"),"ரஞ்சித் ஜூஸ் சென்டர்")</f>
        <v>ரஞ்சித் ஜூஸ் சென்டர்</v>
      </c>
      <c r="I178" s="10" t="str">
        <f>IFERROR(__xludf.DUMMYFUNCTION("GOOGLETRANSLATE(B178,""en"",""kn"")"),"ರಂಜಿತ್ ಜ್ಯೂಸ್ ಸೆನ್ಟರ್‌")</f>
        <v>ರಂಜಿತ್ ಜ್ಯೂಸ್ ಸೆನ್ಟರ್‌</v>
      </c>
      <c r="J178" s="10" t="str">
        <f>IFERROR(__xludf.DUMMYFUNCTION("GOOGLETRANSLATE(B178,""en"",""ml"")"),"രഞ്ജിത് ജ്യൂസ് സെംറ്റര്")</f>
        <v>രഞ്ജിത് ജ്യൂസ് സെംറ്റര്</v>
      </c>
      <c r="K178" s="12" t="s">
        <v>619</v>
      </c>
      <c r="L178" s="10" t="str">
        <f>IFERROR(__xludf.DUMMYFUNCTION("GOOGLETRANSLATE(K178,""en"",""te"")"),"రంజిత్ జ్యూస్ సెంటర్ కాలానుగుణ పండ్ల రసాలు మరియు పానీయాలను అందిస్తుంది.")</f>
        <v>రంజిత్ జ్యూస్ సెంటర్ కాలానుగుణ పండ్ల రసాలు మరియు పానీయాలను అందిస్తుంది.</v>
      </c>
      <c r="M178" s="10" t="str">
        <f>IFERROR(__xludf.DUMMYFUNCTION("GOOGLETRANSLATE(K178,""en"",""hi"")"),"रणजीत जूस सेंटर मौसमी फलों के जूस और पेय पदार्थ उपलब्ध कराता है।")</f>
        <v>रणजीत जूस सेंटर मौसमी फलों के जूस और पेय पदार्थ उपलब्ध कराता है।</v>
      </c>
      <c r="N178" s="10" t="str">
        <f>IFERROR(__xludf.DUMMYFUNCTION("GOOGLETRANSLATE(K178,""en"",""ta"")"),"ரஞ்சித் ஜூஸ் சென்டர் பருவகால பழச்சாறுகள் மற்றும் பானங்களை வழங்குகிறது.")</f>
        <v>ரஞ்சித் ஜூஸ் சென்டர் பருவகால பழச்சாறுகள் மற்றும் பானங்களை வழங்குகிறது.</v>
      </c>
      <c r="O178" s="10" t="str">
        <f>IFERROR(__xludf.DUMMYFUNCTION("GOOGLETRANSLATE(K178,""en"",""kn"")"),"ರಂಜಿತ್ ಜ್ಯೂಸ್ ಸೆಂಟರ್ ಋತುಮಾನದ ಹಣ್ಣಿನ ರಸಗಳು ಮತ್ತು ಪಾನೀಯಗಳನ್ನು ನೀಡುತ್ತದೆ.")</f>
        <v>ರಂಜಿತ್ ಜ್ಯೂಸ್ ಸೆಂಟರ್ ಋತುಮಾನದ ಹಣ್ಣಿನ ರಸಗಳು ಮತ್ತು ಪಾನೀಯಗಳನ್ನು ನೀಡುತ್ತದೆ.</v>
      </c>
      <c r="P178" s="10" t="str">
        <f>IFERROR(__xludf.DUMMYFUNCTION("GOOGLETRANSLATE(K178,""en"",""ml"")"),"രഞ്ജിത് ജ്യൂസ് സെന്റർ സീസണൽ ഫ്രൂട്ട് ജ്യൂസുകളും പാനീയങ്ങളും വാഗ്ദാനം ചെയ്യുന്നു.")</f>
        <v>രഞ്ജിത് ജ്യൂസ് സെന്റർ സീസണൽ ഫ്രൂട്ട് ജ്യൂസുകളും പാനീയങ്ങളും വാഗ്ദാനം ചെയ്യുന്നു.</v>
      </c>
    </row>
    <row r="179">
      <c r="A179" s="6">
        <f t="shared" si="1"/>
        <v>178</v>
      </c>
      <c r="B179" s="6" t="s">
        <v>620</v>
      </c>
      <c r="C179" s="6">
        <v>16.0762563</v>
      </c>
      <c r="D179" s="6">
        <v>78.8750894</v>
      </c>
      <c r="E179" s="5" t="s">
        <v>533</v>
      </c>
      <c r="F179" s="11" t="str">
        <f>IFERROR(__xludf.DUMMYFUNCTION("GOOGLETRANSLATE(B179,""en"",""te"")"),"చలో చాట్ పానీ పూరి")</f>
        <v>చలో చాట్ పానీ పూరి</v>
      </c>
      <c r="G179" s="10" t="str">
        <f>IFERROR(__xludf.DUMMYFUNCTION("GOOGLETRANSLATE(B179,""en"",""hi"")"),"चलो चाट पानी पूरी")</f>
        <v>चलो चाट पानी पूरी</v>
      </c>
      <c r="H179" s="10" t="str">
        <f>IFERROR(__xludf.DUMMYFUNCTION("GOOGLETRANSLATE(B179,""en"",""ta"")"),"சலோ சாட் பாணி பூரி")</f>
        <v>சலோ சாட் பாணி பூரி</v>
      </c>
      <c r="I179" s="10" t="str">
        <f>IFERROR(__xludf.DUMMYFUNCTION("GOOGLETRANSLATE(B179,""en"",""kn"")"),"ಚಲೋ ಚಾಟ್ ಪಾನಿ ಪುರಿ")</f>
        <v>ಚಲೋ ಚಾಟ್ ಪಾನಿ ಪುರಿ</v>
      </c>
      <c r="J179" s="10" t="str">
        <f>IFERROR(__xludf.DUMMYFUNCTION("GOOGLETRANSLATE(B179,""en"",""ml"")"),"ചലോ ചാറ്റ് പാനി പുരി")</f>
        <v>ചലോ ചാറ്റ് പാനി പുരി</v>
      </c>
      <c r="K179" s="12" t="s">
        <v>621</v>
      </c>
      <c r="L179" s="10" t="str">
        <f>IFERROR(__xludf.DUMMYFUNCTION("GOOGLETRANSLATE(K179,""en"",""te"")"),"చలో చాట్ పానీ పూరి అనేది ఒక వీధి శైలి స్నాక్ అవుట్‌లెట్. ఇది పానీ పూరి మరియు చాట్ ఐటెమ్‌లను అందిస్తుంది. ఆహారాన్ని తాజాగా తయారు చేస్తారు.")</f>
        <v>చలో చాట్ పానీ పూరి అనేది ఒక వీధి శైలి స్నాక్ అవుట్‌లెట్. ఇది పానీ పూరి మరియు చాట్ ఐటెమ్‌లను అందిస్తుంది. ఆహారాన్ని తాజాగా తయారు చేస్తారు.</v>
      </c>
      <c r="M179" s="10" t="str">
        <f>IFERROR(__xludf.DUMMYFUNCTION("GOOGLETRANSLATE(K179,""en"",""hi"")"),"चलो चाट पानी पुरी एक स्ट्रीट स्टाइल स्नैक आउटलेट है। यहाँ पानी पुरी और चाट मिलती है। खाना ताज़ा तैयार किया जाता है।")</f>
        <v>चलो चाट पानी पुरी एक स्ट्रीट स्टाइल स्नैक आउटलेट है। यहाँ पानी पुरी और चाट मिलती है। खाना ताज़ा तैयार किया जाता है।</v>
      </c>
      <c r="N179" s="10" t="str">
        <f>IFERROR(__xludf.DUMMYFUNCTION("GOOGLETRANSLATE(K179,""en"",""ta"")"),"சலோ சாட் பாணி பூரி என்பது ஒரு தெரு பாணி சிற்றுண்டி விற்பனை நிலையம். இது பானி பூரி மற்றும் சாட் பொருட்களை வழங்குகிறது. உணவு புதிதாக தயாரிக்கப்படுகிறது.")</f>
        <v>சலோ சாட் பாணி பூரி என்பது ஒரு தெரு பாணி சிற்றுண்டி விற்பனை நிலையம். இது பானி பூரி மற்றும் சாட் பொருட்களை வழங்குகிறது. உணவு புதிதாக தயாரிக்கப்படுகிறது.</v>
      </c>
      <c r="O179" s="10" t="str">
        <f>IFERROR(__xludf.DUMMYFUNCTION("GOOGLETRANSLATE(K179,""en"",""kn"")"),"ಚಲೋ ಚಾಟ್ ಪಾನಿ ಪುರಿ ಬೀದಿ ಶೈಲಿಯ ತಿಂಡಿ ತಿನಿಸುಗಳ ಅಂಗಡಿಯಾಗಿದೆ. ಇದು ಪಾನಿ ಪುರಿ ಮತ್ತು ಚಾಟ್ ವಸ್ತುಗಳನ್ನು ಒದಗಿಸುತ್ತದೆ. ಆಹಾರವನ್ನು ತಾಜಾವಾಗಿ ತಯಾರಿಸಲಾಗುತ್ತದೆ.")</f>
        <v>ಚಲೋ ಚಾಟ್ ಪಾನಿ ಪುರಿ ಬೀದಿ ಶೈಲಿಯ ತಿಂಡಿ ತಿನಿಸುಗಳ ಅಂಗಡಿಯಾಗಿದೆ. ಇದು ಪಾನಿ ಪುರಿ ಮತ್ತು ಚಾಟ್ ವಸ್ತುಗಳನ್ನು ಒದಗಿಸುತ್ತದೆ. ಆಹಾರವನ್ನು ತಾಜಾವಾಗಿ ತಯಾರಿಸಲಾಗುತ್ತದೆ.</v>
      </c>
      <c r="P179" s="10" t="str">
        <f>IFERROR(__xludf.DUMMYFUNCTION("GOOGLETRANSLATE(K179,""en"",""ml"")"),"ചലോ ചാറ്റ് പാനി പുരി ഒരു തെരുവ് ശൈലിയിലുള്ള ലഘുഭക്ഷണശാലയാണ്. ഇത് പാനി പുരിയും ചാട്ട് വിഭവങ്ങളും വിളമ്പുന്നു. ഭക്ഷണം പുതുതായി തയ്യാറാക്കുന്നു.")</f>
        <v>ചലോ ചാറ്റ് പാനി പുരി ഒരു തെരുവ് ശൈലിയിലുള്ള ലഘുഭക്ഷണശാലയാണ്. ഇത് പാനി പുരിയും ചാട്ട് വിഭവങ്ങളും വിളമ്പുന്നു. ഭക്ഷണം പുതുതായി തയ്യാറാക്കുന്നു.</v>
      </c>
    </row>
    <row r="180">
      <c r="A180" s="6">
        <f t="shared" si="1"/>
        <v>179</v>
      </c>
      <c r="B180" s="6" t="s">
        <v>622</v>
      </c>
      <c r="C180" s="6">
        <v>16.0723476</v>
      </c>
      <c r="D180" s="6">
        <v>78.8665497</v>
      </c>
      <c r="E180" s="5" t="s">
        <v>533</v>
      </c>
      <c r="F180" s="11" t="str">
        <f>IFERROR(__xludf.DUMMYFUNCTION("GOOGLETRANSLATE(B180,""en"",""te"")"),"అన్నదానం &amp; లడ్డూ ప్రసాదం")</f>
        <v>అన్నదానం &amp; లడ్డూ ప్రసాదం</v>
      </c>
      <c r="G180" s="10" t="str">
        <f>IFERROR(__xludf.DUMMYFUNCTION("GOOGLETRANSLATE(B180,""en"",""hi"")"),"अन्नदानम और लड्डू प्रसादम")</f>
        <v>अन्नदानम और लड्डू प्रसादम</v>
      </c>
      <c r="H180" s="10" t="str">
        <f>IFERROR(__xludf.DUMMYFUNCTION("GOOGLETRANSLATE(B180,""en"",""ta"")"),"அன்னதானம் &amp; லட்டு பிரசாதம்")</f>
        <v>அன்னதானம் &amp; லட்டு பிரசாதம்</v>
      </c>
      <c r="I180" s="10" t="str">
        <f>IFERROR(__xludf.DUMMYFUNCTION("GOOGLETRANSLATE(B180,""en"",""kn"")"),"ಅನ್ನದಾನ ಮತ್ತು ಲಡ್ಡು ಪ್ರಸಾದ")</f>
        <v>ಅನ್ನದಾನ ಮತ್ತು ಲಡ್ಡು ಪ್ರಸಾದ</v>
      </c>
      <c r="J180" s="10" t="str">
        <f>IFERROR(__xludf.DUMMYFUNCTION("GOOGLETRANSLATE(B180,""en"",""ml"")"),"അന്നദാനവും ലഡ്ഡു പ്രസാദവും")</f>
        <v>അന്നദാനവും ലഡ്ഡു പ്രസാദവും</v>
      </c>
      <c r="K180" s="12" t="s">
        <v>623</v>
      </c>
      <c r="L180" s="10" t="str">
        <f>IFERROR(__xludf.DUMMYFUNCTION("GOOGLETRANSLATE(K180,""en"",""te"")"),"అన్నదానం &amp; లడ్డూ ప్రసాదం ఉచిత భోజనం మరియు ఆలయ ప్రసాదాన్ని అందిస్తుంది. ఈ సేవను ఆలయ అధికారులు నిర్వహిస్తారు. భోజనాలు నిర్ణీత సమయాల్లో వడ్డిస్తారు.")</f>
        <v>అన్నదానం &amp; లడ్డూ ప్రసాదం ఉచిత భోజనం మరియు ఆలయ ప్రసాదాన్ని అందిస్తుంది. ఈ సేవను ఆలయ అధికారులు నిర్వహిస్తారు. భోజనాలు నిర్ణీత సమయాల్లో వడ్డిస్తారు.</v>
      </c>
      <c r="M180" s="10" t="str">
        <f>IFERROR(__xludf.DUMMYFUNCTION("GOOGLETRANSLATE(K180,""en"",""hi"")"),"अन्नदानम और लड्डू प्रसादम सेवा के तहत निःशुल्क भोजन और मंदिर का प्रसाद दिया जाता है। यह सेवा मंदिर के अधिकारियों द्वारा संचालित की जाती है। भोजन निर्धारित समय पर परोसा जाता है।")</f>
        <v>अन्नदानम और लड्डू प्रसादम सेवा के तहत निःशुल्क भोजन और मंदिर का प्रसाद दिया जाता है। यह सेवा मंदिर के अधिकारियों द्वारा संचालित की जाती है। भोजन निर्धारित समय पर परोसा जाता है।</v>
      </c>
      <c r="N180" s="10" t="str">
        <f>IFERROR(__xludf.DUMMYFUNCTION("GOOGLETRANSLATE(K180,""en"",""ta"")"),"அன்னதானம் &amp; லட்டு பிரசாதம் இலவச உணவு மற்றும் கோயில் பிரசாதத்தை வழங்குகிறது. இந்த சேவை கோயில் அதிகாரிகளால் நிர்வகிக்கப்படுகிறது. உணவு குறிப்பிட்ட நேரத்தில் வழங்கப்படுகிறது.")</f>
        <v>அன்னதானம் &amp; லட்டு பிரசாதம் இலவச உணவு மற்றும் கோயில் பிரசாதத்தை வழங்குகிறது. இந்த சேவை கோயில் அதிகாரிகளால் நிர்வகிக்கப்படுகிறது. உணவு குறிப்பிட்ட நேரத்தில் வழங்கப்படுகிறது.</v>
      </c>
      <c r="O180" s="10" t="str">
        <f>IFERROR(__xludf.DUMMYFUNCTION("GOOGLETRANSLATE(K180,""en"",""kn"")"),"ಅನ್ನದಾನ ಮತ್ತು ಲಡ್ಡು ಪ್ರಸಾದವು ಉಚಿತ ಊಟ ಮತ್ತು ದೇವಾಲಯದ ಪ್ರಸಾದವನ್ನು ಒದಗಿಸುತ್ತದೆ. ಈ ಸೇವೆಯನ್ನು ದೇವಾಲಯದ ಅಧಿಕಾರಿಗಳು ನಿರ್ವಹಿಸುತ್ತಾರೆ. ನಿಗದಿತ ಸಮಯದಲ್ಲಿ ಊಟವನ್ನು ನೀಡಲಾಗುತ್ತದೆ.")</f>
        <v>ಅನ್ನದಾನ ಮತ್ತು ಲಡ್ಡು ಪ್ರಸಾದವು ಉಚಿತ ಊಟ ಮತ್ತು ದೇವಾಲಯದ ಪ್ರಸಾದವನ್ನು ಒದಗಿಸುತ್ತದೆ. ಈ ಸೇವೆಯನ್ನು ದೇವಾಲಯದ ಅಧಿಕಾರಿಗಳು ನಿರ್ವಹಿಸುತ್ತಾರೆ. ನಿಗದಿತ ಸಮಯದಲ್ಲಿ ಊಟವನ್ನು ನೀಡಲಾಗುತ್ತದೆ.</v>
      </c>
      <c r="P180" s="10" t="str">
        <f>IFERROR(__xludf.DUMMYFUNCTION("GOOGLETRANSLATE(K180,""en"",""ml"")"),"അന്നദാനവും ലഡ്ഡു പ്രസാദവും സൗജന്യ ഭക്ഷണവും ക്ഷേത്ര പ്രസാദവും നൽകുന്നു. ക്ഷേത്ര അധികാരികളാണ് സേവനം നിയന്ത്രിക്കുന്നത്. നിശ്ചിത സമയങ്ങളിൽ ഭക്ഷണം വിളമ്പുന്നു.")</f>
        <v>അന്നദാനവും ലഡ്ഡു പ്രസാദവും സൗജന്യ ഭക്ഷണവും ക്ഷേത്ര പ്രസാദവും നൽകുന്നു. ക്ഷേത്ര അധികാരികളാണ് സേവനം നിയന്ത്രിക്കുന്നത്. നിശ്ചിത സമയങ്ങളിൽ ഭക്ഷണം വിളമ്പുന്നു.</v>
      </c>
    </row>
    <row r="181">
      <c r="A181" s="6">
        <f t="shared" si="1"/>
        <v>180</v>
      </c>
      <c r="B181" s="6" t="s">
        <v>624</v>
      </c>
      <c r="C181" s="6">
        <v>16.0725766</v>
      </c>
      <c r="D181" s="6">
        <v>78.8668334</v>
      </c>
      <c r="E181" s="5" t="s">
        <v>533</v>
      </c>
      <c r="F181" s="8" t="s">
        <v>625</v>
      </c>
      <c r="G181" s="8" t="s">
        <v>626</v>
      </c>
      <c r="H181" s="8" t="s">
        <v>627</v>
      </c>
      <c r="I181" s="8" t="s">
        <v>628</v>
      </c>
      <c r="J181" s="8" t="s">
        <v>629</v>
      </c>
      <c r="K181" s="12" t="s">
        <v>630</v>
      </c>
      <c r="L181" s="10" t="str">
        <f>IFERROR(__xludf.DUMMYFUNCTION("GOOGLETRANSLATE(K181,""en"",""te"")"),"శ్రీశైలం ఉచిత భోజనాలయం యాత్రికులకు ఉచిత శాఖాహార భోజనాన్ని అందిస్తుంది. ఈ సౌకర్యం ప్రతిరోజూ పనిచేస్తుంది. షెడ్యూల్ చేసిన సమయాల్లో ఆహారం అందించబడుతుంది.")</f>
        <v>శ్రీశైలం ఉచిత భోజనాలయం యాత్రికులకు ఉచిత శాఖాహార భోజనాన్ని అందిస్తుంది. ఈ సౌకర్యం ప్రతిరోజూ పనిచేస్తుంది. షెడ్యూల్ చేసిన సమయాల్లో ఆహారం అందించబడుతుంది.</v>
      </c>
      <c r="M181" s="10" t="str">
        <f>IFERROR(__xludf.DUMMYFUNCTION("GOOGLETRANSLATE(K181,""en"",""hi"")"),"श्रीशैलम फ्री भोजनालय तीर्थयात्रियों को निःशुल्क शाकाहारी भोजन प्रदान करता है। यह सुविधा प्रतिदिन संचालित होती है। भोजन निर्धारित समय पर परोसा जाता है।")</f>
        <v>श्रीशैलम फ्री भोजनालय तीर्थयात्रियों को निःशुल्क शाकाहारी भोजन प्रदान करता है। यह सुविधा प्रतिदिन संचालित होती है। भोजन निर्धारित समय पर परोसा जाता है।</v>
      </c>
      <c r="N181" s="10" t="str">
        <f>IFERROR(__xludf.DUMMYFUNCTION("GOOGLETRANSLATE(K181,""en"",""ta"")"),"ஸ்ரீசைலம் இலவச போஜனாலயம் யாத்ரீகர்களுக்கு இலவச சைவ உணவை வழங்குகிறது. இந்த வசதி தினமும் இயங்குகிறது. உணவு திட்டமிடப்பட்ட நேரத்தில் வழங்கப்படுகிறது.")</f>
        <v>ஸ்ரீசைலம் இலவச போஜனாலயம் யாத்ரீகர்களுக்கு இலவச சைவ உணவை வழங்குகிறது. இந்த வசதி தினமும் இயங்குகிறது. உணவு திட்டமிடப்பட்ட நேரத்தில் வழங்கப்படுகிறது.</v>
      </c>
      <c r="O181" s="10" t="str">
        <f>IFERROR(__xludf.DUMMYFUNCTION("GOOGLETRANSLATE(K181,""en"",""kn"")"),"ಶ್ರೀಶೈಲಂ ಉಚಿತ ಭೋಜನಾಲಯವು ಯಾತ್ರಾರ್ಥಿಗಳಿಗೆ ಉಚಿತ ಸಸ್ಯಾಹಾರಿ ಊಟವನ್ನು ನೀಡುತ್ತದೆ. ಈ ಸೌಲಭ್ಯವು ಪ್ರತಿದಿನ ಕಾರ್ಯನಿರ್ವಹಿಸುತ್ತದೆ. ನಿಗದಿತ ಸಮಯದಲ್ಲಿ ಆಹಾರವನ್ನು ನೀಡಲಾಗುತ್ತದೆ.")</f>
        <v>ಶ್ರೀಶೈಲಂ ಉಚಿತ ಭೋಜನಾಲಯವು ಯಾತ್ರಾರ್ಥಿಗಳಿಗೆ ಉಚಿತ ಸಸ್ಯಾಹಾರಿ ಊಟವನ್ನು ನೀಡುತ್ತದೆ. ಈ ಸೌಲಭ್ಯವು ಪ್ರತಿದಿನ ಕಾರ್ಯನಿರ್ವಹಿಸುತ್ತದೆ. ನಿಗದಿತ ಸಮಯದಲ್ಲಿ ಆಹಾರವನ್ನು ನೀಡಲಾಗುತ್ತದೆ.</v>
      </c>
      <c r="P181" s="10" t="str">
        <f>IFERROR(__xludf.DUMMYFUNCTION("GOOGLETRANSLATE(K181,""en"",""ml"")"),"ശ്രീശൈലം സൗജന്യ ഭോജനാലയം തീർത്ഥാടകർക്ക് സൗജന്യ സസ്യാഹാരം വാഗ്ദാനം ചെയ്യുന്നു. ഈ സൗകര്യം ദിവസവും പ്രവർത്തിക്കുന്നു. നിശ്ചിത സമയങ്ങളിൽ ഭക്ഷണം വിളമ്പുന്നു.")</f>
        <v>ശ്രീശൈലം സൗജന്യ ഭോജനാലയം തീർത്ഥാടകർക്ക് സൗജന്യ സസ്യാഹാരം വാഗ്ദാനം ചെയ്യുന്നു. ഈ സൗകര്യം ദിവസവും പ്രവർത്തിക്കുന്നു. നിശ്ചിത സമയങ്ങളിൽ ഭക്ഷണം വിളമ്പുന്നു.</v>
      </c>
    </row>
    <row r="182">
      <c r="A182" s="6">
        <f t="shared" si="1"/>
        <v>181</v>
      </c>
      <c r="B182" s="6" t="s">
        <v>631</v>
      </c>
      <c r="C182" s="6">
        <v>16.07257</v>
      </c>
      <c r="D182" s="6">
        <v>78.86683</v>
      </c>
      <c r="E182" s="5" t="s">
        <v>533</v>
      </c>
      <c r="F182" s="8" t="s">
        <v>632</v>
      </c>
      <c r="G182" s="8" t="s">
        <v>633</v>
      </c>
      <c r="H182" s="8" t="s">
        <v>634</v>
      </c>
      <c r="I182" s="8" t="s">
        <v>635</v>
      </c>
      <c r="J182" s="8" t="s">
        <v>636</v>
      </c>
      <c r="K182" s="12" t="s">
        <v>637</v>
      </c>
      <c r="L182" s="10" t="str">
        <f>IFERROR(__xludf.DUMMYFUNCTION("GOOGLETRANSLATE(K182,""en"",""te"")"),"అన్నపుర భవన్ అనేది సరళమైన శాఖాహార భోజనాలను అందించే భోజన సౌకర్యం. ఒకేసారి అనేక మంది సందర్శకులను నిర్వహించేలా ఇది రూపొందించబడింది. సీటింగ్ విశాలంగా ఉంటుంది.")</f>
        <v>అన్నపుర భవన్ అనేది సరళమైన శాఖాహార భోజనాలను అందించే భోజన సౌకర్యం. ఒకేసారి అనేక మంది సందర్శకులను నిర్వహించేలా ఇది రూపొందించబడింది. సీటింగ్ విశాలంగా ఉంటుంది.</v>
      </c>
      <c r="M182" s="10" t="str">
        <f>IFERROR(__xludf.DUMMYFUNCTION("GOOGLETRANSLATE(K182,""en"",""hi"")"),"अन्नपुरा भवन एक भोजनालय है जहाँ साधारण शाकाहारी भोजन परोसा जाता है। इसे एक साथ कई आगंतुकों के लिए उपयुक्त बनाया गया है। बैठने की पर्याप्त व्यवस्था है।")</f>
        <v>अन्नपुरा भवन एक भोजनालय है जहाँ साधारण शाकाहारी भोजन परोसा जाता है। इसे एक साथ कई आगंतुकों के लिए उपयुक्त बनाया गया है। बैठने की पर्याप्त व्यवस्था है।</v>
      </c>
      <c r="N182" s="10" t="str">
        <f>IFERROR(__xludf.DUMMYFUNCTION("GOOGLETRANSLATE(K182,""en"",""ta"")"),"அன்னபுரா பவன் என்பது எளிய சைவ உணவுகளை வழங்கும் ஒரு உணவகமாகும். ஒரே நேரத்தில் பல பார்வையாளர்களை கையாளும் வகையில் இது வடிவமைக்கப்பட்டுள்ளது. இருக்கைகள் விசாலமானவை.")</f>
        <v>அன்னபுரா பவன் என்பது எளிய சைவ உணவுகளை வழங்கும் ஒரு உணவகமாகும். ஒரே நேரத்தில் பல பார்வையாளர்களை கையாளும் வகையில் இது வடிவமைக்கப்பட்டுள்ளது. இருக்கைகள் விசாலமானவை.</v>
      </c>
      <c r="O182" s="10" t="str">
        <f>IFERROR(__xludf.DUMMYFUNCTION("GOOGLETRANSLATE(K182,""en"",""kn"")"),"ಅನ್ನಾಪುರ ಭವನವು ಸರಳ ಸಸ್ಯಾಹಾರಿ ಊಟಗಳನ್ನು ನೀಡುವ ಊಟದ ಸೌಲಭ್ಯವಾಗಿದೆ. ಏಕಕಾಲದಲ್ಲಿ ಅನೇಕ ಸಂದರ್ಶಕರನ್ನು ನಿಭಾಯಿಸಲು ಇದನ್ನು ವಿನ್ಯಾಸಗೊಳಿಸಲಾಗಿದೆ. ಆಸನಗಳು ವಿಶಾಲವಾಗಿವೆ.")</f>
        <v>ಅನ್ನಾಪುರ ಭವನವು ಸರಳ ಸಸ್ಯಾಹಾರಿ ಊಟಗಳನ್ನು ನೀಡುವ ಊಟದ ಸೌಲಭ್ಯವಾಗಿದೆ. ಏಕಕಾಲದಲ್ಲಿ ಅನೇಕ ಸಂದರ್ಶಕರನ್ನು ನಿಭಾಯಿಸಲು ಇದನ್ನು ವಿನ್ಯಾಸಗೊಳಿಸಲಾಗಿದೆ. ಆಸನಗಳು ವಿಶಾಲವಾಗಿವೆ.</v>
      </c>
      <c r="P182" s="10" t="str">
        <f>IFERROR(__xludf.DUMMYFUNCTION("GOOGLETRANSLATE(K182,""en"",""ml"")"),"അന്നപുര ഭവൻ ലളിതമായ സസ്യാഹാരം വിളമ്പുന്ന ഒരു ഡൈനിംഗ് സൗകര്യമാണ്. ഒരേസമയം നിരവധി സന്ദർശകരെ കൈകാര്യം ചെയ്യുന്നതിനായി ഇത് രൂപകൽപ്പന ചെയ്‌തിരിക്കുന്നു. ഇരിപ്പിടങ്ങൾ വിശാലമാണ്.")</f>
        <v>അന്നപുര ഭവൻ ലളിതമായ സസ്യാഹാരം വിളമ്പുന്ന ഒരു ഡൈനിംഗ് സൗകര്യമാണ്. ഒരേസമയം നിരവധി സന്ദർശകരെ കൈകാര്യം ചെയ്യുന്നതിനായി ഇത് രൂപകൽപ്പന ചെയ്‌തിരിക്കുന്നു. ഇരിപ്പിടങ്ങൾ വിശാലമാണ്.</v>
      </c>
    </row>
    <row r="183">
      <c r="A183" s="6">
        <f t="shared" si="1"/>
        <v>182</v>
      </c>
      <c r="B183" s="6" t="s">
        <v>638</v>
      </c>
      <c r="C183" s="6">
        <v>16.0739227</v>
      </c>
      <c r="D183" s="6">
        <v>78.875241</v>
      </c>
      <c r="E183" s="5" t="s">
        <v>639</v>
      </c>
      <c r="F183" s="8" t="s">
        <v>640</v>
      </c>
      <c r="G183" s="10" t="str">
        <f>IFERROR(__xludf.DUMMYFUNCTION("GOOGLETRANSLATE(B183,""en"",""hi"")"),"एपीएसआरटीसी बस स्टैंड")</f>
        <v>एपीएसआरटीसी बस स्टैंड</v>
      </c>
      <c r="H183" s="10" t="str">
        <f>IFERROR(__xludf.DUMMYFUNCTION("GOOGLETRANSLATE(B183,""en"",""ta"")"),"APSRTC பேருந்து நிலையம்")</f>
        <v>APSRTC பேருந்து நிலையம்</v>
      </c>
      <c r="I183" s="10" t="str">
        <f>IFERROR(__xludf.DUMMYFUNCTION("GOOGLETRANSLATE(B183,""en"",""kn"")"),"ಎಪಿಎಸ್ಆರ್ಟಿಸಿ ಬಸ್ ನಿಲ್ದಾಣ")</f>
        <v>ಎಪಿಎಸ್ಆರ್ಟಿಸಿ ಬಸ್ ನಿಲ್ದಾಣ</v>
      </c>
      <c r="J183" s="10" t="str">
        <f>IFERROR(__xludf.DUMMYFUNCTION("GOOGLETRANSLATE(B183,""en"",""ml"")"),"എ.പി.എസ്.ആർ.ടി.സി ബസ് സ്റ്റാൻഡ്")</f>
        <v>എ.പി.എസ്.ആർ.ടി.സി ബസ് സ്റ്റാൻഡ്</v>
      </c>
      <c r="K183" s="12" t="s">
        <v>641</v>
      </c>
      <c r="L183" s="10" t="str">
        <f>IFERROR(__xludf.DUMMYFUNCTION("GOOGLETRANSLATE(K183,""en"",""te"")"),"శ్రీశైలంను సమీప పట్టణాలు మరియు నగరాలతో అనుసంధానించే APSRTC బస్సు సేవలను అందించే ప్రధాన ప్రభుత్వ బస్ స్టాండ్.")</f>
        <v>శ్రీశైలంను సమీప పట్టణాలు మరియు నగరాలతో అనుసంధానించే APSRTC బస్సు సేవలను అందించే ప్రధాన ప్రభుత్వ బస్ స్టాండ్.</v>
      </c>
      <c r="M183" s="10" t="str">
        <f>IFERROR(__xludf.DUMMYFUNCTION("GOOGLETRANSLATE(K183,""en"",""hi"")"),"यह मुख्य सरकारी बस स्टैंड है जो श्रीशैलम को आसपास के कस्बों और शहरों से जोड़ने वाली एपीएसआरटीसी बस सेवाएं प्रदान करता है।")</f>
        <v>यह मुख्य सरकारी बस स्टैंड है जो श्रीशैलम को आसपास के कस्बों और शहरों से जोड़ने वाली एपीएसआरटीसी बस सेवाएं प्रदान करता है।</v>
      </c>
      <c r="N183" s="10" t="str">
        <f>IFERROR(__xludf.DUMMYFUNCTION("GOOGLETRANSLATE(K183,""en"",""ta"")"),"ஸ்ரீசைலத்தை அருகிலுள்ள நகரங்கள் மற்றும் பெருநகரங்களுடன் இணைக்கும் APSRTC பேருந்து சேவைகளை வழங்கும் பிரதான அரசு பேருந்து நிலையம்.")</f>
        <v>ஸ்ரீசைலத்தை அருகிலுள்ள நகரங்கள் மற்றும் பெருநகரங்களுடன் இணைக்கும் APSRTC பேருந்து சேவைகளை வழங்கும் பிரதான அரசு பேருந்து நிலையம்.</v>
      </c>
      <c r="O183" s="10" t="str">
        <f>IFERROR(__xludf.DUMMYFUNCTION("GOOGLETRANSLATE(K183,""en"",""kn"")"),"ಶ್ರೀಶೈಲಂ ಅನ್ನು ಹತ್ತಿರದ ಪಟ್ಟಣಗಳು ​​ಮತ್ತು ನಗರಗಳೊಂದಿಗೆ ಸಂಪರ್ಕಿಸುವ APSRTC ಬಸ್ ಸೇವೆಗಳನ್ನು ಒದಗಿಸುವ ಮುಖ್ಯ ಸರ್ಕಾರಿ ಬಸ್ ನಿಲ್ದಾಣ.")</f>
        <v>ಶ್ರೀಶೈಲಂ ಅನ್ನು ಹತ್ತಿರದ ಪಟ್ಟಣಗಳು ​​ಮತ್ತು ನಗರಗಳೊಂದಿಗೆ ಸಂಪರ್ಕಿಸುವ APSRTC ಬಸ್ ಸೇವೆಗಳನ್ನು ಒದಗಿಸುವ ಮುಖ್ಯ ಸರ್ಕಾರಿ ಬಸ್ ನಿಲ್ದಾಣ.</v>
      </c>
      <c r="P183" s="10" t="str">
        <f>IFERROR(__xludf.DUMMYFUNCTION("GOOGLETRANSLATE(K183,""en"",""ml"")"),"ശ്രീശൈലത്തെ സമീപ പട്ടണങ്ങളുമായും നഗരങ്ങളുമായും ബന്ധിപ്പിക്കുന്ന APSRTC ബസ് സർവീസുകൾ നൽകുന്ന പ്രധാന സർക്കാർ ബസ് സ്റ്റാൻഡ്.")</f>
        <v>ശ്രീശൈലത്തെ സമീപ പട്ടണങ്ങളുമായും നഗരങ്ങളുമായും ബന്ധിപ്പിക്കുന്ന APSRTC ബസ് സർവീസുകൾ നൽകുന്ന പ്രധാന സർക്കാർ ബസ് സ്റ്റാൻഡ്.</v>
      </c>
    </row>
    <row r="184">
      <c r="A184" s="6">
        <f t="shared" si="1"/>
        <v>183</v>
      </c>
      <c r="B184" s="6" t="s">
        <v>642</v>
      </c>
      <c r="C184" s="6">
        <v>16.073828</v>
      </c>
      <c r="D184" s="6">
        <v>78.8749811</v>
      </c>
      <c r="E184" s="5" t="s">
        <v>639</v>
      </c>
      <c r="F184" s="8" t="s">
        <v>643</v>
      </c>
      <c r="G184" s="8" t="s">
        <v>644</v>
      </c>
      <c r="H184" s="8" t="s">
        <v>645</v>
      </c>
      <c r="I184" s="8" t="s">
        <v>646</v>
      </c>
      <c r="J184" s="8" t="s">
        <v>647</v>
      </c>
      <c r="K184" s="12" t="s">
        <v>648</v>
      </c>
      <c r="L184" s="10" t="str">
        <f>IFERROR(__xludf.DUMMYFUNCTION("GOOGLETRANSLATE(K184,""en"",""te"")"),"శ్రీశైలం నుండి నడిచే APSRTC మరియు TSRTC బస్సు సర్వీసులకు ముందస్తు టికెట్ బుకింగ్ కౌంటర్.")</f>
        <v>శ్రీశైలం నుండి నడిచే APSRTC మరియు TSRTC బస్సు సర్వీసులకు ముందస్తు టికెట్ బుకింగ్ కౌంటర్.</v>
      </c>
      <c r="M184" s="10" t="str">
        <f>IFERROR(__xludf.DUMMYFUNCTION("GOOGLETRANSLATE(K184,""en"",""hi"")"),"श्रीशैलम से चलने वाली एपीएसआरटीसी और टीएसआरटीसी बस सेवाओं के लिए अग्रिम टिकट बुकिंग काउंटर।")</f>
        <v>श्रीशैलम से चलने वाली एपीएसआरटीसी और टीएसआरटीसी बस सेवाओं के लिए अग्रिम टिकट बुकिंग काउंटर।</v>
      </c>
      <c r="N184" s="10" t="str">
        <f>IFERROR(__xludf.DUMMYFUNCTION("GOOGLETRANSLATE(K184,""en"",""ta"")"),"ஸ்ரீசைலத்திலிருந்து இயக்கப்படும் APSRTC மற்றும் TSRTC பேருந்து சேவைகளுக்கான முன்கூட்டியே டிக்கெட் முன்பதிவு கவுண்டர்.")</f>
        <v>ஸ்ரீசைலத்திலிருந்து இயக்கப்படும் APSRTC மற்றும் TSRTC பேருந்து சேவைகளுக்கான முன்கூட்டியே டிக்கெட் முன்பதிவு கவுண்டர்.</v>
      </c>
      <c r="O184" s="10" t="str">
        <f>IFERROR(__xludf.DUMMYFUNCTION("GOOGLETRANSLATE(K184,""en"",""kn"")"),"ಶ್ರೀಶೈಲಂನಿಂದ ಕಾರ್ಯನಿರ್ವಹಿಸುವ APSRTC ಮತ್ತು TSRTC ಬಸ್ ಸೇವೆಗಳಿಗೆ ಮುಂಗಡ ಟಿಕೆಟ್ ಬುಕಿಂಗ್ ಕೌಂಟರ್.")</f>
        <v>ಶ್ರೀಶೈಲಂನಿಂದ ಕಾರ್ಯನಿರ್ವಹಿಸುವ APSRTC ಮತ್ತು TSRTC ಬಸ್ ಸೇವೆಗಳಿಗೆ ಮುಂಗಡ ಟಿಕೆಟ್ ಬುಕಿಂಗ್ ಕೌಂಟರ್.</v>
      </c>
      <c r="P184" s="10" t="str">
        <f>IFERROR(__xludf.DUMMYFUNCTION("GOOGLETRANSLATE(K184,""en"",""ml"")"),"ശ്രീശൈലത്ത് നിന്ന് സർവീസ് നടത്തുന്ന APSRTC, TSRTC ബസ് സർവീസുകൾക്കുള്ള മുൻകൂർ ടിക്കറ്റ് ബുക്കിംഗ് കൗണ്ടർ.")</f>
        <v>ശ്രീശൈലത്ത് നിന്ന് സർവീസ് നടത്തുന്ന APSRTC, TSRTC ബസ് സർവീസുകൾക്കുള്ള മുൻകൂർ ടിക്കറ്റ് ബുക്കിംഗ് കൗണ്ടർ.</v>
      </c>
    </row>
    <row r="185">
      <c r="A185" s="6">
        <f t="shared" si="1"/>
        <v>184</v>
      </c>
      <c r="B185" s="6" t="s">
        <v>649</v>
      </c>
      <c r="C185" s="6">
        <v>16.0732662</v>
      </c>
      <c r="D185" s="6">
        <v>78.8747812</v>
      </c>
      <c r="E185" s="5" t="s">
        <v>639</v>
      </c>
      <c r="F185" s="8" t="s">
        <v>650</v>
      </c>
      <c r="G185" s="10" t="str">
        <f>IFERROR(__xludf.DUMMYFUNCTION("GOOGLETRANSLATE(B185,""en"",""hi"")"),"नायडू ट्रेवल्स श्रीशैलम कैब्स और टैक्सी")</f>
        <v>नायडू ट्रेवल्स श्रीशैलम कैब्स और टैक्सी</v>
      </c>
      <c r="H185" s="8" t="s">
        <v>651</v>
      </c>
      <c r="I185" s="8" t="s">
        <v>652</v>
      </c>
      <c r="J185" s="8" t="s">
        <v>653</v>
      </c>
      <c r="K185" s="12" t="s">
        <v>654</v>
      </c>
      <c r="L185" s="10" t="str">
        <f>IFERROR(__xludf.DUMMYFUNCTION("GOOGLETRANSLATE(K185,""en"",""te"")"),"శ్రీశైలం నుండి దర్శనీయ స్థలాలు మరియు సమీప ప్రయాణాలకు క్యాబ్‌లు మరియు టాక్సీలను అందించే స్థానిక ప్రయాణ సేవ.")</f>
        <v>శ్రీశైలం నుండి దర్శనీయ స్థలాలు మరియు సమీప ప్రయాణాలకు క్యాబ్‌లు మరియు టాక్సీలను అందించే స్థానిక ప్రయాణ సేవ.</v>
      </c>
      <c r="M185" s="10" t="str">
        <f>IFERROR(__xludf.DUMMYFUNCTION("GOOGLETRANSLATE(K185,""en"",""hi"")"),"श्रीशैलम से आसपास के इलाकों में घूमने-फिरने के लिए कैब और टैक्सी उपलब्ध कराने वाली स्थानीय यात्रा सेवा।")</f>
        <v>श्रीशैलम से आसपास के इलाकों में घूमने-फिरने के लिए कैब और टैक्सी उपलब्ध कराने वाली स्थानीय यात्रा सेवा।</v>
      </c>
      <c r="N185" s="10" t="str">
        <f>IFERROR(__xludf.DUMMYFUNCTION("GOOGLETRANSLATE(K185,""en"",""ta"")"),"ஸ்ரீசைலத்திலிருந்து சுற்றிப் பார்ப்பதற்கும் அருகிலுள்ள பயணங்களுக்கும் டாக்சிகள் மற்றும் டாக்சிகளை வழங்கும் உள்ளூர் பயண சேவை.")</f>
        <v>ஸ்ரீசைலத்திலிருந்து சுற்றிப் பார்ப்பதற்கும் அருகிலுள்ள பயணங்களுக்கும் டாக்சிகள் மற்றும் டாக்சிகளை வழங்கும் உள்ளூர் பயண சேவை.</v>
      </c>
      <c r="O185" s="10" t="str">
        <f>IFERROR(__xludf.DUMMYFUNCTION("GOOGLETRANSLATE(K185,""en"",""kn"")"),"ಶ್ರೀಶೈಲಂನಿಂದ ದೃಶ್ಯವೀಕ್ಷಣೆ ಮತ್ತು ಹತ್ತಿರದ ಪ್ರಯಾಣಕ್ಕಾಗಿ ಕ್ಯಾಬ್‌ಗಳು ಮತ್ತು ಟ್ಯಾಕ್ಸಿಗಳನ್ನು ಒದಗಿಸುವ ಸ್ಥಳೀಯ ಪ್ರಯಾಣ ಸೇವೆ.")</f>
        <v>ಶ್ರೀಶೈಲಂನಿಂದ ದೃಶ್ಯವೀಕ್ಷಣೆ ಮತ್ತು ಹತ್ತಿರದ ಪ್ರಯಾಣಕ್ಕಾಗಿ ಕ್ಯಾಬ್‌ಗಳು ಮತ್ತು ಟ್ಯಾಕ್ಸಿಗಳನ್ನು ಒದಗಿಸುವ ಸ್ಥಳೀಯ ಪ್ರಯಾಣ ಸೇವೆ.</v>
      </c>
      <c r="P185" s="10" t="str">
        <f>IFERROR(__xludf.DUMMYFUNCTION("GOOGLETRANSLATE(K185,""en"",""ml"")"),"ശ്രീശൈലത്ത് നിന്ന് കാഴ്ചകൾ കാണുന്നതിനും സമീപത്തുള്ള യാത്രകൾക്കുമായി ക്യാബുകളും ടാക്സികളും വാഗ്ദാനം ചെയ്യുന്ന പ്രാദേശിക യാത്രാ സേവനം.")</f>
        <v>ശ്രീശൈലത്ത് നിന്ന് കാഴ്ചകൾ കാണുന്നതിനും സമീപത്തുള്ള യാത്രകൾക്കുമായി ക്യാബുകളും ടാക്സികളും വാഗ്ദാനം ചെയ്യുന്ന പ്രാദേശിക യാത്രാ സേവനം.</v>
      </c>
    </row>
    <row r="186">
      <c r="A186" s="6">
        <f t="shared" si="1"/>
        <v>185</v>
      </c>
      <c r="B186" s="6" t="s">
        <v>655</v>
      </c>
      <c r="C186" s="6">
        <v>16.0735158</v>
      </c>
      <c r="D186" s="6">
        <v>78.8734198</v>
      </c>
      <c r="E186" s="5" t="s">
        <v>639</v>
      </c>
      <c r="F186" s="8" t="s">
        <v>656</v>
      </c>
      <c r="G186" s="8" t="s">
        <v>657</v>
      </c>
      <c r="H186" s="8" t="s">
        <v>658</v>
      </c>
      <c r="I186" s="8" t="s">
        <v>659</v>
      </c>
      <c r="J186" s="8" t="s">
        <v>653</v>
      </c>
      <c r="K186" s="12" t="s">
        <v>660</v>
      </c>
      <c r="L186" s="10" t="str">
        <f>IFERROR(__xludf.DUMMYFUNCTION("GOOGLETRANSLATE(K186,""en"",""te"")"),"యాత్రికులు మరియు సందర్శకులకు స్థానిక మరియు అవుట్‌స్టేషన్ రవాణాను అందించే ప్రైవేట్ క్యాబ్ సర్వీస్.")</f>
        <v>యాత్రికులు మరియు సందర్శకులకు స్థానిక మరియు అవుట్‌స్టేషన్ రవాణాను అందించే ప్రైవేట్ క్యాబ్ సర్వీస్.</v>
      </c>
      <c r="M186" s="10" t="str">
        <f>IFERROR(__xludf.DUMMYFUNCTION("GOOGLETRANSLATE(K186,""en"",""hi"")"),"तीर्थयात्रियों और पर्यटकों के लिए स्थानीय और बाहरी परिवहन प्रदान करने वाली निजी कैब सेवा।")</f>
        <v>तीर्थयात्रियों और पर्यटकों के लिए स्थानीय और बाहरी परिवहन प्रदान करने वाली निजी कैब सेवा।</v>
      </c>
      <c r="N186" s="10" t="str">
        <f>IFERROR(__xludf.DUMMYFUNCTION("GOOGLETRANSLATE(K186,""en"",""ta"")"),"யாத்ரீகர்கள் மற்றும் பார்வையாளர்களுக்கு உள்ளூர் மற்றும் வெளியூர் போக்குவரத்தை வழங்கும் தனியார் டாக்ஸி சேவை.")</f>
        <v>யாத்ரீகர்கள் மற்றும் பார்வையாளர்களுக்கு உள்ளூர் மற்றும் வெளியூர் போக்குவரத்தை வழங்கும் தனியார் டாக்ஸி சேவை.</v>
      </c>
      <c r="O186" s="10" t="str">
        <f>IFERROR(__xludf.DUMMYFUNCTION("GOOGLETRANSLATE(K186,""en"",""kn"")"),"ಯಾತ್ರಾರ್ಥಿಗಳು ಮತ್ತು ಸಂದರ್ಶಕರಿಗೆ ಸ್ಥಳೀಯ ಮತ್ತು ಹೊರರಾಜ್ಯ ಸಾರಿಗೆಯನ್ನು ಒದಗಿಸುವ ಖಾಸಗಿ ಕ್ಯಾಬ್ ಸೇವೆ.")</f>
        <v>ಯಾತ್ರಾರ್ಥಿಗಳು ಮತ್ತು ಸಂದರ್ಶಕರಿಗೆ ಸ್ಥಳೀಯ ಮತ್ತು ಹೊರರಾಜ್ಯ ಸಾರಿಗೆಯನ್ನು ಒದಗಿಸುವ ಖಾಸಗಿ ಕ್ಯಾಬ್ ಸೇವೆ.</v>
      </c>
      <c r="P186" s="10" t="str">
        <f>IFERROR(__xludf.DUMMYFUNCTION("GOOGLETRANSLATE(K186,""en"",""ml"")"),"തീർത്ഥാടകർക്കും സന്ദർശകർക്കും പ്രാദേശിക, വിദേശ ഗതാഗതം നൽകുന്ന സ്വകാര്യ ക്യാബ് സർവീസ്.")</f>
        <v>തീർത്ഥാടകർക്കും സന്ദർശകർക്കും പ്രാദേശിക, വിദേശ ഗതാഗതം നൽകുന്ന സ്വകാര്യ ക്യാബ് സർവീസ്.</v>
      </c>
    </row>
    <row r="187">
      <c r="A187" s="6">
        <f t="shared" si="1"/>
        <v>186</v>
      </c>
      <c r="B187" s="6" t="s">
        <v>661</v>
      </c>
      <c r="C187" s="6">
        <v>16.0735378</v>
      </c>
      <c r="D187" s="6">
        <v>78.8728579</v>
      </c>
      <c r="E187" s="5" t="s">
        <v>639</v>
      </c>
      <c r="F187" s="8" t="s">
        <v>662</v>
      </c>
      <c r="G187" s="10" t="str">
        <f>IFERROR(__xludf.DUMMYFUNCTION("GOOGLETRANSLATE(B187,""en"",""hi"")"),"श्रीशैलम फोर व्हील ट्रेवल्स")</f>
        <v>श्रीशैलम फोर व्हील ट्रेवल्स</v>
      </c>
      <c r="H187" s="8" t="s">
        <v>663</v>
      </c>
      <c r="I187" s="8" t="s">
        <v>664</v>
      </c>
      <c r="J187" s="8" t="s">
        <v>665</v>
      </c>
      <c r="K187" s="12" t="s">
        <v>666</v>
      </c>
      <c r="L187" s="10" t="str">
        <f>IFERROR(__xludf.DUMMYFUNCTION("GOOGLETRANSLATE(K187,""en"",""te"")"),"ఆలయ సందర్శనలు మరియు స్థానిక ప్రయాణాల కోసం నాలుగు చక్రాల వాహన అద్దెలను అందించే ప్రయాణ సేవ.")</f>
        <v>ఆలయ సందర్శనలు మరియు స్థానిక ప్రయాణాల కోసం నాలుగు చక్రాల వాహన అద్దెలను అందించే ప్రయాణ సేవ.</v>
      </c>
      <c r="M187" s="10" t="str">
        <f>IFERROR(__xludf.DUMMYFUNCTION("GOOGLETRANSLATE(K187,""en"",""hi"")"),"यात्रा सेवा जो मंदिर दर्शन और स्थानीय यात्रा के लिए चार पहिया वाहन किराए पर देती है।")</f>
        <v>यात्रा सेवा जो मंदिर दर्शन और स्थानीय यात्रा के लिए चार पहिया वाहन किराए पर देती है।</v>
      </c>
      <c r="N187" s="10" t="str">
        <f>IFERROR(__xludf.DUMMYFUNCTION("GOOGLETRANSLATE(K187,""en"",""ta"")"),"கோயில் வருகைகள் மற்றும் உள்ளூர் பயணங்களுக்கு நான்கு சக்கர வாகன வாடகையை வழங்கும் பயண சேவை.")</f>
        <v>கோயில் வருகைகள் மற்றும் உள்ளூர் பயணங்களுக்கு நான்கு சக்கர வாகன வாடகையை வழங்கும் பயண சேவை.</v>
      </c>
      <c r="O187" s="10" t="str">
        <f>IFERROR(__xludf.DUMMYFUNCTION("GOOGLETRANSLATE(K187,""en"",""kn"")"),"ದೇವಾಲಯ ಭೇಟಿಗಳು ಮತ್ತು ಸ್ಥಳೀಯ ಪ್ರಯಾಣಕ್ಕಾಗಿ ನಾಲ್ಕು ಚಕ್ರಗಳ ವಾಹನ ಬಾಡಿಗೆಗಳನ್ನು ನೀಡುವ ಪ್ರಯಾಣ ಸೇವೆ.")</f>
        <v>ದೇವಾಲಯ ಭೇಟಿಗಳು ಮತ್ತು ಸ್ಥಳೀಯ ಪ್ರಯಾಣಕ್ಕಾಗಿ ನಾಲ್ಕು ಚಕ್ರಗಳ ವಾಹನ ಬಾಡಿಗೆಗಳನ್ನು ನೀಡುವ ಪ್ರಯಾಣ ಸೇವೆ.</v>
      </c>
      <c r="P187" s="10" t="str">
        <f>IFERROR(__xludf.DUMMYFUNCTION("GOOGLETRANSLATE(K187,""en"",""ml"")"),"ക്ഷേത്ര സന്ദർശനങ്ങൾക്കും പ്രാദേശിക യാത്രകൾക്കും ഫോർ വീൽ വാഹന വാടക വാഗ്ദാനം ചെയ്യുന്ന യാത്രാ സേവനം.")</f>
        <v>ക്ഷേത്ര സന്ദർശനങ്ങൾക്കും പ്രാദേശിക യാത്രകൾക്കും ഫോർ വീൽ വാഹന വാടക വാഗ്ദാനം ചെയ്യുന്ന യാത്രാ സേവനം.</v>
      </c>
    </row>
    <row r="188">
      <c r="A188" s="6">
        <f t="shared" si="1"/>
        <v>187</v>
      </c>
      <c r="B188" s="6" t="s">
        <v>667</v>
      </c>
      <c r="C188" s="6">
        <v>16.071759</v>
      </c>
      <c r="D188" s="6">
        <v>78.8699068</v>
      </c>
      <c r="E188" s="5" t="s">
        <v>668</v>
      </c>
      <c r="F188" s="11" t="str">
        <f>IFERROR(__xludf.DUMMYFUNCTION("GOOGLETRANSLATE(B188,""en"",""te"")"),"దేవస్థానం హాస్పిటల్")</f>
        <v>దేవస్థానం హాస్పిటల్</v>
      </c>
      <c r="G188" s="10" t="str">
        <f>IFERROR(__xludf.DUMMYFUNCTION("GOOGLETRANSLATE(B188,""en"",""hi"")"),"देवस्थानम अस्पताल")</f>
        <v>देवस्थानम अस्पताल</v>
      </c>
      <c r="H188" s="10" t="str">
        <f>IFERROR(__xludf.DUMMYFUNCTION("GOOGLETRANSLATE(B188,""en"",""ta"")"),"தேவஸ்தானம் மருத்துவமனை")</f>
        <v>தேவஸ்தானம் மருத்துவமனை</v>
      </c>
      <c r="I188" s="10" t="str">
        <f>IFERROR(__xludf.DUMMYFUNCTION("GOOGLETRANSLATE(B188,""en"",""kn"")"),"ದೇವಸ್ತಾನಂ ಆಸ್ಪತ್ರೆ")</f>
        <v>ದೇವಸ್ತಾನಂ ಆಸ್ಪತ್ರೆ</v>
      </c>
      <c r="J188" s="10" t="str">
        <f>IFERROR(__xludf.DUMMYFUNCTION("GOOGLETRANSLATE(B188,""en"",""ml"")"),"ദേവസ്ഥാനം ആശുപത്രി")</f>
        <v>ദേവസ്ഥാനം ആശുപത്രി</v>
      </c>
      <c r="K188" s="12" t="s">
        <v>669</v>
      </c>
      <c r="L188" s="10" t="str">
        <f>IFERROR(__xludf.DUMMYFUNCTION("GOOGLETRANSLATE(K188,""en"",""te"")"),"దేవస్థానం హాస్పిటల్ అనేది ఆలయ పరిపాలన ద్వారా నిర్వహించబడే వైద్య సౌకర్యం. ఇది యాత్రికులు మరియు సిబ్బందికి ప్రాథమిక ఆరోగ్య సేవలను అందిస్తుంది. అవసరమైనప్పుడు అత్యవసర సంరక్షణ అందుబాటులో ఉంటుంది. ఆసుపత్రి రోజంతా పనిచేస్తుంది.")</f>
        <v>దేవస్థానం హాస్పిటల్ అనేది ఆలయ పరిపాలన ద్వారా నిర్వహించబడే వైద్య సౌకర్యం. ఇది యాత్రికులు మరియు సిబ్బందికి ప్రాథమిక ఆరోగ్య సేవలను అందిస్తుంది. అవసరమైనప్పుడు అత్యవసర సంరక్షణ అందుబాటులో ఉంటుంది. ఆసుపత్రి రోజంతా పనిచేస్తుంది.</v>
      </c>
      <c r="M188" s="10" t="str">
        <f>IFERROR(__xludf.DUMMYFUNCTION("GOOGLETRANSLATE(K188,""en"",""hi"")"),"देवस्थानम अस्पताल मंदिर प्रशासन द्वारा संचालित एक चिकित्सा सुविधा है। यह तीर्थयात्रियों और कर्मचारियों को बुनियादी स्वास्थ्य सेवाएं प्रदान करता है। आवश्यकता पड़ने पर आपातकालीन चिकित्सा सुविधा भी उपलब्ध है। अस्पताल दिन भर खुला रहता है।")</f>
        <v>देवस्थानम अस्पताल मंदिर प्रशासन द्वारा संचालित एक चिकित्सा सुविधा है। यह तीर्थयात्रियों और कर्मचारियों को बुनियादी स्वास्थ्य सेवाएं प्रदान करता है। आवश्यकता पड़ने पर आपातकालीन चिकित्सा सुविधा भी उपलब्ध है। अस्पताल दिन भर खुला रहता है।</v>
      </c>
      <c r="N188" s="10" t="str">
        <f>IFERROR(__xludf.DUMMYFUNCTION("GOOGLETRANSLATE(K188,""en"",""ta"")"),"தேவஸ்தானம் மருத்துவமனை என்பது கோயில் நிர்வாகத்தால் நிர்வகிக்கப்படும் ஒரு மருத்துவ வசதி. இது யாத்ரீகர்கள் மற்றும் ஊழியர்களுக்கு அடிப்படை சுகாதார சேவைகளை வழங்குகிறது. தேவைப்படும்போது அவசர சிகிச்சை கிடைக்கும். மருத்துவமனை நாள் முழுவதும் செயல்படுகிறது.")</f>
        <v>தேவஸ்தானம் மருத்துவமனை என்பது கோயில் நிர்வாகத்தால் நிர்வகிக்கப்படும் ஒரு மருத்துவ வசதி. இது யாத்ரீகர்கள் மற்றும் ஊழியர்களுக்கு அடிப்படை சுகாதார சேவைகளை வழங்குகிறது. தேவைப்படும்போது அவசர சிகிச்சை கிடைக்கும். மருத்துவமனை நாள் முழுவதும் செயல்படுகிறது.</v>
      </c>
      <c r="O188" s="10" t="str">
        <f>IFERROR(__xludf.DUMMYFUNCTION("GOOGLETRANSLATE(K188,""en"",""kn"")"),"ದೇವಸ್ತಾನಂ ಆಸ್ಪತ್ರೆಯು ದೇವಾಲಯ ಆಡಳಿತ ಮಂಡಳಿಯಿಂದ ನಿರ್ವಹಿಸಲ್ಪಡುವ ವೈದ್ಯಕೀಯ ಸೌಲಭ್ಯವಾಗಿದೆ. ಇದು ಯಾತ್ರಿಕರು ಮತ್ತು ಸಿಬ್ಬಂದಿಗೆ ಮೂಲಭೂತ ಆರೋಗ್ಯ ಸೇವೆಗಳನ್ನು ಒದಗಿಸುತ್ತದೆ. ಅಗತ್ಯವಿದ್ದಾಗ ತುರ್ತು ಆರೈಕೆ ಲಭ್ಯವಿದೆ. ಆಸ್ಪತ್ರೆ ದಿನವಿಡೀ ಕಾರ್ಯನಿರ್ವಹಿಸುತ್ತದೆ.")</f>
        <v>ದೇವಸ್ತಾನಂ ಆಸ್ಪತ್ರೆಯು ದೇವಾಲಯ ಆಡಳಿತ ಮಂಡಳಿಯಿಂದ ನಿರ್ವಹಿಸಲ್ಪಡುವ ವೈದ್ಯಕೀಯ ಸೌಲಭ್ಯವಾಗಿದೆ. ಇದು ಯಾತ್ರಿಕರು ಮತ್ತು ಸಿಬ್ಬಂದಿಗೆ ಮೂಲಭೂತ ಆರೋಗ್ಯ ಸೇವೆಗಳನ್ನು ಒದಗಿಸುತ್ತದೆ. ಅಗತ್ಯವಿದ್ದಾಗ ತುರ್ತು ಆರೈಕೆ ಲಭ್ಯವಿದೆ. ಆಸ್ಪತ್ರೆ ದಿನವಿಡೀ ಕಾರ್ಯನಿರ್ವಹಿಸುತ್ತದೆ.</v>
      </c>
      <c r="P188" s="10" t="str">
        <f>IFERROR(__xludf.DUMMYFUNCTION("GOOGLETRANSLATE(K188,""en"",""ml"")"),"ക്ഷേത്ര ഭരണകൂടം നിയന്ത്രിക്കുന്ന ഒരു മെഡിക്കൽ സൗകര്യമാണ് ദേവസ്ഥാനം ആശുപത്രി. തീർത്ഥാടകർക്കും ജീവനക്കാർക്കും അടിസ്ഥാന ആരോഗ്യ സേവനങ്ങൾ ഇത് നൽകുന്നു. ആവശ്യമുള്ളപ്പോൾ അടിയന്തര പരിചരണം ലഭ്യമാണ്. ആശുപത്രി ദിവസം മുഴുവൻ പ്രവർത്തിക്കുന്നു.")</f>
        <v>ക്ഷേത്ര ഭരണകൂടം നിയന്ത്രിക്കുന്ന ഒരു മെഡിക്കൽ സൗകര്യമാണ് ദേവസ്ഥാനം ആശുപത്രി. തീർത്ഥാടകർക്കും ജീവനക്കാർക്കും അടിസ്ഥാന ആരോഗ്യ സേവനങ്ങൾ ഇത് നൽകുന്നു. ആവശ്യമുള്ളപ്പോൾ അടിയന്തര പരിചരണം ലഭ്യമാണ്. ആശുപത്രി ദിവസം മുഴുവൻ പ്രവർത്തിക്കുന്നു.</v>
      </c>
    </row>
    <row r="189">
      <c r="A189" s="6">
        <f t="shared" si="1"/>
        <v>188</v>
      </c>
      <c r="B189" s="6" t="s">
        <v>670</v>
      </c>
      <c r="C189" s="6">
        <v>16.0749508</v>
      </c>
      <c r="D189" s="6">
        <v>78.873215</v>
      </c>
      <c r="E189" s="5" t="s">
        <v>668</v>
      </c>
      <c r="F189" s="8" t="s">
        <v>671</v>
      </c>
      <c r="G189" s="8" t="s">
        <v>672</v>
      </c>
      <c r="H189" s="10" t="str">
        <f>IFERROR(__xludf.DUMMYFUNCTION("GOOGLETRANSLATE(B189,""en"",""ta"")"),"ஆரம்ப சுகாதார மையம்")</f>
        <v>ஆரம்ப சுகாதார மையம்</v>
      </c>
      <c r="I189" s="10" t="str">
        <f>IFERROR(__xludf.DUMMYFUNCTION("GOOGLETRANSLATE(B189,""en"",""kn"")"),"ಪ್ರಾಥಮಿಕ ಆರೋಗ್ಯ ಕೇಂದ್ರ")</f>
        <v>ಪ್ರಾಥಮಿಕ ಆರೋಗ್ಯ ಕೇಂದ್ರ</v>
      </c>
      <c r="J189" s="10" t="str">
        <f>IFERROR(__xludf.DUMMYFUNCTION("GOOGLETRANSLATE(B189,""en"",""ml"")"),"പ്രാഥമിക ആരോഗ്യ കേന്ദ്രം")</f>
        <v>പ്രാഥമിക ആരോഗ്യ കേന്ദ്രം</v>
      </c>
      <c r="K189" s="12" t="s">
        <v>673</v>
      </c>
      <c r="L189" s="10" t="str">
        <f>IFERROR(__xludf.DUMMYFUNCTION("GOOGLETRANSLATE(K189,""en"",""te"")"),"ప్రాథమిక ఆరోగ్య కేంద్రం ప్రాథమిక వైద్య చికిత్స మరియు ప్రథమ చికిత్స సేవలను అందిస్తుంది. ఇది స్థానిక నివాసితులకు మరియు సందర్శకులకు మద్దతు ఇస్తుంది. సేవలలో సాధారణ తనిఖీలు మరియు ప్రాథమిక సంరక్షణ ఉన్నాయి. తీవ్రమైన కేసులను ఉన్నత ఆసుపత్రులకు సూచిస్తారు.")</f>
        <v>ప్రాథమిక ఆరోగ్య కేంద్రం ప్రాథమిక వైద్య చికిత్స మరియు ప్రథమ చికిత్స సేవలను అందిస్తుంది. ఇది స్థానిక నివాసితులకు మరియు సందర్శకులకు మద్దతు ఇస్తుంది. సేవలలో సాధారణ తనిఖీలు మరియు ప్రాథమిక సంరక్షణ ఉన్నాయి. తీవ్రమైన కేసులను ఉన్నత ఆసుపత్రులకు సూచిస్తారు.</v>
      </c>
      <c r="M189" s="10" t="str">
        <f>IFERROR(__xludf.DUMMYFUNCTION("GOOGLETRANSLATE(K189,""en"",""hi"")"),"प्राथमिक स्वास्थ्य केंद्र बुनियादी चिकित्सा उपचार और प्राथमिक चिकित्सा सेवाएं प्रदान करता है। यह स्थानीय निवासियों और आगंतुकों को सहायता प्रदान करता है। सेवाओं में सामान्य जांच और प्राथमिक देखभाल शामिल हैं। गंभीर मामलों को उच्च अस्पतालों में भेजा जाता है।")</f>
        <v>प्राथमिक स्वास्थ्य केंद्र बुनियादी चिकित्सा उपचार और प्राथमिक चिकित्सा सेवाएं प्रदान करता है। यह स्थानीय निवासियों और आगंतुकों को सहायता प्रदान करता है। सेवाओं में सामान्य जांच और प्राथमिक देखभाल शामिल हैं। गंभीर मामलों को उच्च अस्पतालों में भेजा जाता है।</v>
      </c>
      <c r="N189" s="10" t="str">
        <f>IFERROR(__xludf.DUMMYFUNCTION("GOOGLETRANSLATE(K189,""en"",""ta"")"),"ஆரம்ப சுகாதார மையம் அடிப்படை மருத்துவ சிகிச்சை மற்றும் முதலுதவி சேவைகளை வழங்குகிறது. இது உள்ளூர்வாசிகள் மற்றும் பார்வையாளர்களுக்கு உதவுகிறது. பொது பரிசோதனைகள் மற்றும் முதன்மை பராமரிப்பு ஆகியவை சேவைகளில் அடங்கும். கடுமையான வழக்குகள் உயர் மருத்துவமனைகளுக்கு"&amp;" பரிந்துரைக்கப்படுகின்றன.")</f>
        <v>ஆரம்ப சுகாதார மையம் அடிப்படை மருத்துவ சிகிச்சை மற்றும் முதலுதவி சேவைகளை வழங்குகிறது. இது உள்ளூர்வாசிகள் மற்றும் பார்வையாளர்களுக்கு உதவுகிறது. பொது பரிசோதனைகள் மற்றும் முதன்மை பராமரிப்பு ஆகியவை சேவைகளில் அடங்கும். கடுமையான வழக்குகள் உயர் மருத்துவமனைகளுக்கு பரிந்துரைக்கப்படுகின்றன.</v>
      </c>
      <c r="O189" s="10" t="str">
        <f>IFERROR(__xludf.DUMMYFUNCTION("GOOGLETRANSLATE(K189,""en"",""kn"")"),"ಪ್ರಾಥಮಿಕ ಆರೋಗ್ಯ ಕೇಂದ್ರವು ಮೂಲಭೂತ ವೈದ್ಯಕೀಯ ಚಿಕಿತ್ಸೆ ಮತ್ತು ಪ್ರಥಮ ಚಿಕಿತ್ಸಾ ಸೇವೆಗಳನ್ನು ನೀಡುತ್ತದೆ. ಇದು ಸ್ಥಳೀಯ ನಿವಾಸಿಗಳು ಮತ್ತು ಸಂದರ್ಶಕರಿಗೆ ಬೆಂಬಲ ನೀಡುತ್ತದೆ. ಸೇವೆಗಳಲ್ಲಿ ಸಾಮಾನ್ಯ ತಪಾಸಣೆ ಮತ್ತು ಪ್ರಾಥಮಿಕ ಆರೈಕೆ ಸೇರಿವೆ. ಗಂಭೀರ ಪ್ರಕರಣಗಳನ್ನು ಉನ್ನತ ಆಸ್ಪತ್ರೆಗಳಿಗೆ ಉಲ್ಲೇಖಿಸಲಾಗು"&amp;"ತ್ತದೆ.")</f>
        <v>ಪ್ರಾಥಮಿಕ ಆರೋಗ್ಯ ಕೇಂದ್ರವು ಮೂಲಭೂತ ವೈದ್ಯಕೀಯ ಚಿಕಿತ್ಸೆ ಮತ್ತು ಪ್ರಥಮ ಚಿಕಿತ್ಸಾ ಸೇವೆಗಳನ್ನು ನೀಡುತ್ತದೆ. ಇದು ಸ್ಥಳೀಯ ನಿವಾಸಿಗಳು ಮತ್ತು ಸಂದರ್ಶಕರಿಗೆ ಬೆಂಬಲ ನೀಡುತ್ತದೆ. ಸೇವೆಗಳಲ್ಲಿ ಸಾಮಾನ್ಯ ತಪಾಸಣೆ ಮತ್ತು ಪ್ರಾಥಮಿಕ ಆರೈಕೆ ಸೇರಿವೆ. ಗಂಭೀರ ಪ್ರಕರಣಗಳನ್ನು ಉನ್ನತ ಆಸ್ಪತ್ರೆಗಳಿಗೆ ಉಲ್ಲೇಖಿಸಲಾಗುತ್ತದೆ.</v>
      </c>
      <c r="P189" s="10" t="str">
        <f>IFERROR(__xludf.DUMMYFUNCTION("GOOGLETRANSLATE(K189,""en"",""ml"")"),"പ്രാഥമികാരോഗ്യ കേന്ദ്രം അടിസ്ഥാന വൈദ്യചികിത്സയും പ്രഥമശുശ്രൂഷാ സേവനങ്ങളും നൽകുന്നു. ഇത് പ്രദേശവാസികളെയും സന്ദർശകരെയും പിന്തുണയ്ക്കുന്നു. സേവനങ്ങളിൽ പൊതുവായ പരിശോധനകളും പ്രാഥമിക പരിചരണവും ഉൾപ്പെടുന്നു. ഗുരുതരമായ കേസുകളെ ഉയർന്ന ആശുപത്രികളിലേക്ക് റഫർ ചെയ്യുന"&amp;"്നു.")</f>
        <v>പ്രാഥമികാരോഗ്യ കേന്ദ്രം അടിസ്ഥാന വൈദ്യചികിത്സയും പ്രഥമശുശ്രൂഷാ സേവനങ്ങളും നൽകുന്നു. ഇത് പ്രദേശവാസികളെയും സന്ദർശകരെയും പിന്തുണയ്ക്കുന്നു. സേവനങ്ങളിൽ പൊതുവായ പരിശോധനകളും പ്രാഥമിക പരിചരണവും ഉൾപ്പെടുന്നു. ഗുരുതരമായ കേസുകളെ ഉയർന്ന ആശുപത്രികളിലേക്ക് റഫർ ചെയ്യുന്നു.</v>
      </c>
    </row>
    <row r="190">
      <c r="A190" s="6">
        <f t="shared" si="1"/>
        <v>189</v>
      </c>
      <c r="B190" s="6" t="s">
        <v>674</v>
      </c>
      <c r="C190" s="6">
        <v>16.0738907</v>
      </c>
      <c r="D190" s="6">
        <v>78.8681117</v>
      </c>
      <c r="E190" s="5" t="s">
        <v>668</v>
      </c>
      <c r="F190" s="8" t="s">
        <v>675</v>
      </c>
      <c r="G190" s="8" t="s">
        <v>676</v>
      </c>
      <c r="H190" s="10" t="str">
        <f>IFERROR(__xludf.DUMMYFUNCTION("GOOGLETRANSLATE(B190,""en"",""ta"")"),"எஸ்எஸ்டி ஹோம் &amp; ஹெல்த் ஸ்ரீ சைலம்")</f>
        <v>எஸ்எஸ்டி ஹோம் &amp; ஹெல்த் ஸ்ரீ சைலம்</v>
      </c>
      <c r="I190" s="10" t="str">
        <f>IFERROR(__xludf.DUMMYFUNCTION("GOOGLETRANSLATE(B190,""en"",""kn"")"),"ಎಸ್‌ಎಸ್‌ಟಿ ಹೋಮ್ &amp; ಹೆಲ್ತ್ ಶ್ರೀ ಸೈಲಂ")</f>
        <v>ಎಸ್‌ಎಸ್‌ಟಿ ಹೋಮ್ &amp; ಹೆಲ್ತ್ ಶ್ರೀ ಸೈಲಂ</v>
      </c>
      <c r="J190" s="10" t="str">
        <f>IFERROR(__xludf.DUMMYFUNCTION("GOOGLETRANSLATE(B190,""en"",""ml"")"),"എസ്എസ്ടി ഹോം &amp; ഹെൽത്ത് ശ്രീ സൈലം")</f>
        <v>എസ്എസ്ടി ഹോം &amp; ഹെൽത്ത് ശ്രീ സൈലം</v>
      </c>
      <c r="K190" s="12" t="s">
        <v>677</v>
      </c>
      <c r="L190" s="10" t="str">
        <f>IFERROR(__xludf.DUMMYFUNCTION("GOOGLETRANSLATE(K190,""en"",""te"")"),"SST హోమ్ &amp; హెల్త్ శ్రీ సాయిలం ఆరోగ్య సంబంధిత సేవలు మరియు సంరక్షణ సహాయాన్ని అందిస్తుంది. ఇది ప్రాథమిక వైద్య సహాయంపై దృష్టి పెడుతుంది. ఈ సౌకర్యం నిర్ణీత సమయాల్లో పనిచేస్తుంది. ఇది స్థానిక అవసరాలకు సేవలు అందిస్తుంది.")</f>
        <v>SST హోమ్ &amp; హెల్త్ శ్రీ సాయిలం ఆరోగ్య సంబంధిత సేవలు మరియు సంరక్షణ సహాయాన్ని అందిస్తుంది. ఇది ప్రాథమిక వైద్య సహాయంపై దృష్టి పెడుతుంది. ఈ సౌకర్యం నిర్ణీత సమయాల్లో పనిచేస్తుంది. ఇది స్థానిక అవసరాలకు సేవలు అందిస్తుంది.</v>
      </c>
      <c r="M190" s="10" t="str">
        <f>IFERROR(__xludf.DUMMYFUNCTION("GOOGLETRANSLATE(K190,""en"",""hi"")"),"एसएसटी होम एंड हेल्थ श्री शैलम स्वास्थ्य संबंधी सेवाएं और देखभाल सहायता प्रदान करता है। यह बुनियादी चिकित्सा सहायता पर केंद्रित है। यह सुविधा निर्धारित समय के दौरान संचालित होती है। यह स्थानीय आवश्यकताओं की पूर्ति करती है।")</f>
        <v>एसएसटी होम एंड हेल्थ श्री शैलम स्वास्थ्य संबंधी सेवाएं और देखभाल सहायता प्रदान करता है। यह बुनियादी चिकित्सा सहायता पर केंद्रित है। यह सुविधा निर्धारित समय के दौरान संचालित होती है। यह स्थानीय आवश्यकताओं की पूर्ति करती है।</v>
      </c>
      <c r="N190" s="10" t="str">
        <f>IFERROR(__xludf.DUMMYFUNCTION("GOOGLETRANSLATE(K190,""en"",""ta"")"),"SST ஹோம் &amp; ஹெல்த் ஸ்ரீ சைலம் சுகாதாரம் தொடர்பான சேவைகள் மற்றும் பராமரிப்பு ஆதரவை வழங்குகிறது. இது அடிப்படை மருத்துவ உதவியில் கவனம் செலுத்துகிறது. இந்த வசதி குறிப்பிட்ட நேரங்களில் செயல்படுகிறது. இது உள்ளூர் தேவைகளுக்கு சேவை செய்கிறது.")</f>
        <v>SST ஹோம் &amp; ஹெல்த் ஸ்ரீ சைலம் சுகாதாரம் தொடர்பான சேவைகள் மற்றும் பராமரிப்பு ஆதரவை வழங்குகிறது. இது அடிப்படை மருத்துவ உதவியில் கவனம் செலுத்துகிறது. இந்த வசதி குறிப்பிட்ட நேரங்களில் செயல்படுகிறது. இது உள்ளூர் தேவைகளுக்கு சேவை செய்கிறது.</v>
      </c>
      <c r="O190" s="10" t="str">
        <f>IFERROR(__xludf.DUMMYFUNCTION("GOOGLETRANSLATE(K190,""en"",""kn"")"),"ಎಸ್‌ಎಸ್‌ಟಿ ಹೋಮ್ &amp; ಹೆಲ್ತ್ ಶ್ರೀ ಸೈಲಂ ಆರೋಗ್ಯ ಸಂಬಂಧಿತ ಸೇವೆಗಳು ಮತ್ತು ಆರೈಕೆ ಬೆಂಬಲವನ್ನು ಒದಗಿಸುತ್ತದೆ. ಇದು ಮೂಲಭೂತ ವೈದ್ಯಕೀಯ ನೆರವಿನ ಮೇಲೆ ಕೇಂದ್ರೀಕರಿಸುತ್ತದೆ. ಈ ಸೌಲಭ್ಯವು ನಿಗದಿತ ಸಮಯದಲ್ಲಿ ಕಾರ್ಯನಿರ್ವಹಿಸುತ್ತದೆ. ಇದು ಸ್ಥಳೀಯ ಅಗತ್ಯಗಳನ್ನು ಪೂರೈಸುತ್ತದೆ.")</f>
        <v>ಎಸ್‌ಎಸ್‌ಟಿ ಹೋಮ್ &amp; ಹೆಲ್ತ್ ಶ್ರೀ ಸೈಲಂ ಆರೋಗ್ಯ ಸಂಬಂಧಿತ ಸೇವೆಗಳು ಮತ್ತು ಆರೈಕೆ ಬೆಂಬಲವನ್ನು ಒದಗಿಸುತ್ತದೆ. ಇದು ಮೂಲಭೂತ ವೈದ್ಯಕೀಯ ನೆರವಿನ ಮೇಲೆ ಕೇಂದ್ರೀಕರಿಸುತ್ತದೆ. ಈ ಸೌಲಭ್ಯವು ನಿಗದಿತ ಸಮಯದಲ್ಲಿ ಕಾರ್ಯನಿರ್ವಹಿಸುತ್ತದೆ. ಇದು ಸ್ಥಳೀಯ ಅಗತ್ಯಗಳನ್ನು ಪೂರೈಸುತ್ತದೆ.</v>
      </c>
      <c r="P190" s="10" t="str">
        <f>IFERROR(__xludf.DUMMYFUNCTION("GOOGLETRANSLATE(K190,""en"",""ml"")"),"എസ്എസ്ടി ഹോം &amp; ഹെൽത്ത് ശ്രീ സൈലം ആരോഗ്യ സംബന്ധിയായ സേവനങ്ങളും പരിചരണ പിന്തുണയും നൽകുന്നു. അടിസ്ഥാന വൈദ്യസഹായത്തിലാണ് ഇത് ശ്രദ്ധ കേന്ദ്രീകരിക്കുന്നത്. നിശ്ചിത സമയങ്ങളിൽ ഈ സൗകര്യം പ്രവർത്തിക്കുന്നു. ഇത് പ്രാദേശിക ആവശ്യങ്ങൾ നിറവേറ്റുന്നു.")</f>
        <v>എസ്എസ്ടി ഹോം &amp; ഹെൽത്ത് ശ്രീ സൈലം ആരോഗ്യ സംബന്ധിയായ സേവനങ്ങളും പരിചരണ പിന്തുണയും നൽകുന്നു. അടിസ്ഥാന വൈദ്യസഹായത്തിലാണ് ഇത് ശ്രദ്ധ കേന്ദ്രീകരിക്കുന്നത്. നിശ്ചിത സമയങ്ങളിൽ ഈ സൗകര്യം പ്രവർത്തിക്കുന്നു. ഇത് പ്രാദേശിക ആവശ്യങ്ങൾ നിറവേറ്റുന്നു.</v>
      </c>
    </row>
    <row r="191">
      <c r="A191" s="6">
        <f t="shared" si="1"/>
        <v>190</v>
      </c>
      <c r="B191" s="6" t="s">
        <v>678</v>
      </c>
      <c r="C191" s="6">
        <v>16.07379</v>
      </c>
      <c r="D191" s="6">
        <v>78.8690284</v>
      </c>
      <c r="E191" s="5" t="s">
        <v>668</v>
      </c>
      <c r="F191" s="8" t="s">
        <v>679</v>
      </c>
      <c r="G191" s="8" t="s">
        <v>680</v>
      </c>
      <c r="H191" s="10" t="str">
        <f>IFERROR(__xludf.DUMMYFUNCTION("GOOGLETRANSLATE(B191,""en"",""ta"")"),"மல்லன்னா மெடிக்கல் &amp; ஃபேன்ஸி ஸ்டோர்")</f>
        <v>மல்லன்னா மெடிக்கல் &amp; ஃபேன்ஸி ஸ்டோர்</v>
      </c>
      <c r="I191" s="10" t="str">
        <f>IFERROR(__xludf.DUMMYFUNCTION("GOOGLETRANSLATE(B191,""en"",""kn"")"),"ಮಲ್ಲನ್ನಾ ಮೆಡಿಕಲ್ &amp; ಫ್ಯಾನ್ಸಿ ಸ್ಟೋರ್")</f>
        <v>ಮಲ್ಲನ್ನಾ ಮೆಡಿಕಲ್ &amp; ಫ್ಯಾನ್ಸಿ ಸ್ಟೋರ್</v>
      </c>
      <c r="J191" s="10" t="str">
        <f>IFERROR(__xludf.DUMMYFUNCTION("GOOGLETRANSLATE(B191,""en"",""ml"")"),"മല്ലന്നാ മെഡികൽ &amp; ഫാന്സി സ്ടോര്")</f>
        <v>മല്ലന്നാ മെഡികൽ &amp; ഫാന്സി സ്ടോര്</v>
      </c>
      <c r="K191" s="12" t="s">
        <v>681</v>
      </c>
      <c r="L191" s="10" t="str">
        <f>IFERROR(__xludf.DUMMYFUNCTION("GOOGLETRANSLATE(K191,""en"",""te"")"),"మల్లన్న మెడికల్ &amp; ఫ్యాన్సీ స్టోర్ మందులు మరియు రోజువారీ ఉపయోగించే వైద్య వస్తువులను విక్రయిస్తుంది. ఇది చిన్న వ్యక్తిగత మరియు సౌకర్యవంతమైన ఉత్పత్తులను కూడా అందిస్తుంది.")</f>
        <v>మల్లన్న మెడికల్ &amp; ఫ్యాన్సీ స్టోర్ మందులు మరియు రోజువారీ ఉపయోగించే వైద్య వస్తువులను విక్రయిస్తుంది. ఇది చిన్న వ్యక్తిగత మరియు సౌకర్యవంతమైన ఉత్పత్తులను కూడా అందిస్తుంది.</v>
      </c>
      <c r="M191" s="10" t="str">
        <f>IFERROR(__xludf.DUMMYFUNCTION("GOOGLETRANSLATE(K191,""en"",""hi"")"),"मल्लन्ना मेडिकल एंड फैंसी स्टोर में दवाइयां और दैनिक उपयोग की चिकित्सा सामग्री मिलती है। साथ ही, यहां छोटे व्यक्तिगत और सुविधाजनक उत्पाद भी उपलब्ध हैं।")</f>
        <v>मल्लन्ना मेडिकल एंड फैंसी स्टोर में दवाइयां और दैनिक उपयोग की चिकित्सा सामग्री मिलती है। साथ ही, यहां छोटे व्यक्तिगत और सुविधाजनक उत्पाद भी उपलब्ध हैं।</v>
      </c>
      <c r="N191" s="10" t="str">
        <f>IFERROR(__xludf.DUMMYFUNCTION("GOOGLETRANSLATE(K191,""en"",""ta"")"),"மல்லன்னா மெடிக்கல் &amp; ஃபேன்ஸி ஸ்டோர் மருந்துகள் மற்றும் அன்றாடப் பயன்பாட்டு மருத்துவப் பொருட்களை விற்பனை செய்கிறது. இது சிறிய தனிப்பட்ட மற்றும் வசதிக்கான பொருட்களையும் வழங்குகிறது.")</f>
        <v>மல்லன்னா மெடிக்கல் &amp; ஃபேன்ஸி ஸ்டோர் மருந்துகள் மற்றும் அன்றாடப் பயன்பாட்டு மருத்துவப் பொருட்களை விற்பனை செய்கிறது. இது சிறிய தனிப்பட்ட மற்றும் வசதிக்கான பொருட்களையும் வழங்குகிறது.</v>
      </c>
      <c r="O191" s="10" t="str">
        <f>IFERROR(__xludf.DUMMYFUNCTION("GOOGLETRANSLATE(K191,""en"",""kn"")"),"ಮಲ್ಲಣ್ಣ ಮೆಡಿಕಲ್ &amp; ಫ್ಯಾನ್ಸಿ ಸ್ಟೋರ್ ಔಷಧಿಗಳು ಮತ್ತು ದಿನನಿತ್ಯದ ವೈದ್ಯಕೀಯ ವಸ್ತುಗಳನ್ನು ಮಾರಾಟ ಮಾಡುತ್ತದೆ. ಇದು ಸಣ್ಣ ವೈಯಕ್ತಿಕ ಮತ್ತು ಅನುಕೂಲಕರ ಉತ್ಪನ್ನಗಳನ್ನು ಸಹ ನೀಡುತ್ತದೆ.")</f>
        <v>ಮಲ್ಲಣ್ಣ ಮೆಡಿಕಲ್ &amp; ಫ್ಯಾನ್ಸಿ ಸ್ಟೋರ್ ಔಷಧಿಗಳು ಮತ್ತು ದಿನನಿತ್ಯದ ವೈದ್ಯಕೀಯ ವಸ್ತುಗಳನ್ನು ಮಾರಾಟ ಮಾಡುತ್ತದೆ. ಇದು ಸಣ್ಣ ವೈಯಕ್ತಿಕ ಮತ್ತು ಅನುಕೂಲಕರ ಉತ್ಪನ್ನಗಳನ್ನು ಸಹ ನೀಡುತ್ತದೆ.</v>
      </c>
      <c r="P191" s="10" t="str">
        <f>IFERROR(__xludf.DUMMYFUNCTION("GOOGLETRANSLATE(K191,""en"",""ml"")"),"മല്ലണ്ണ മെഡിക്കൽ &amp; ഫാൻസി സ്റ്റോർ മരുന്നുകളും ദൈനംദിന ഉപയോഗത്തിനുള്ള മെഡിക്കൽ വസ്തുക്കളും വിൽക്കുന്നു. വ്യക്തിഗതവും സൗകര്യപ്രദവുമായ ചെറിയ ഉൽപ്പന്നങ്ങളും ഇത് വാഗ്ദാനം ചെയ്യുന്നു.")</f>
        <v>മല്ലണ്ണ മെഡിക്കൽ &amp; ഫാൻസി സ്റ്റോർ മരുന്നുകളും ദൈനംദിന ഉപയോഗത്തിനുള്ള മെഡിക്കൽ വസ്തുക്കളും വിൽക്കുന്നു. വ്യക്തിഗതവും സൗകര്യപ്രദവുമായ ചെറിയ ഉൽപ്പന്നങ്ങളും ഇത് വാഗ്ദാനം ചെയ്യുന്നു.</v>
      </c>
    </row>
    <row r="192">
      <c r="A192" s="6">
        <f t="shared" si="1"/>
        <v>191</v>
      </c>
      <c r="B192" s="6" t="s">
        <v>682</v>
      </c>
      <c r="C192" s="6">
        <v>16.0699141</v>
      </c>
      <c r="D192" s="6">
        <v>78.8693158</v>
      </c>
      <c r="E192" s="5" t="s">
        <v>668</v>
      </c>
      <c r="F192" s="8" t="s">
        <v>683</v>
      </c>
      <c r="G192" s="8" t="s">
        <v>684</v>
      </c>
      <c r="H192" s="10" t="str">
        <f>IFERROR(__xludf.DUMMYFUNCTION("GOOGLETRANSLATE(B192,""en"",""ta"")"),"ஸ்ரீசலம் 1டவுன் போலிஸ் ஸ்டெஷன்")</f>
        <v>ஸ்ரீசலம் 1டவுன் போலிஸ் ஸ்டெஷன்</v>
      </c>
      <c r="I192" s="10" t="str">
        <f>IFERROR(__xludf.DUMMYFUNCTION("GOOGLETRANSLATE(B192,""en"",""kn"")"),"ಶ್ರೀಸಲಾಮ್ 1 ಟೌನ್ ಪೋಲಿಸ್ ಸ್ಟೆಷನ್")</f>
        <v>ಶ್ರೀಸಲಾಮ್ 1 ಟೌನ್ ಪೋಲಿಸ್ ಸ್ಟೆಷನ್</v>
      </c>
      <c r="J192" s="10" t="str">
        <f>IFERROR(__xludf.DUMMYFUNCTION("GOOGLETRANSLATE(B192,""en"",""ml"")"),"ശ്രീസലാം 1ടൌന് പോലിസ് സ്ടെഷൻ")</f>
        <v>ശ്രീസലാം 1ടൌന് പോലിസ് സ്ടെഷൻ</v>
      </c>
      <c r="K192" s="12" t="s">
        <v>685</v>
      </c>
      <c r="L192" s="10" t="str">
        <f>IFERROR(__xludf.DUMMYFUNCTION("GOOGLETRANSLATE(K192,""en"",""te"")"),"శ్రీసలాం 1టౌన్ పోలీస్ స్టేషన్ స్థానిక ప్రాంతంలో శాంతిభద్రతలను నిర్వహిస్తుంది. పోలీసు మద్దతు అన్ని సమయాల్లో అందుబాటులో ఉంటుంది.")</f>
        <v>శ్రీసలాం 1టౌన్ పోలీస్ స్టేషన్ స్థానిక ప్రాంతంలో శాంతిభద్రతలను నిర్వహిస్తుంది. పోలీసు మద్దతు అన్ని సమయాల్లో అందుబాటులో ఉంటుంది.</v>
      </c>
      <c r="M192" s="10" t="str">
        <f>IFERROR(__xludf.DUMMYFUNCTION("GOOGLETRANSLATE(K192,""en"",""hi"")"),"श्रीसलाम 1टाउन पुलिस स्टेशन स्थानीय क्षेत्र में कानून व्यवस्था का प्रबंधन करता है। पुलिस सहायता हर समय उपलब्ध है।")</f>
        <v>श्रीसलाम 1टाउन पुलिस स्टेशन स्थानीय क्षेत्र में कानून व्यवस्था का प्रबंधन करता है। पुलिस सहायता हर समय उपलब्ध है।</v>
      </c>
      <c r="N192" s="10" t="str">
        <f>IFERROR(__xludf.DUMMYFUNCTION("GOOGLETRANSLATE(K192,""en"",""ta"")"),"ஸ்ரீசலம் 1 டவுன் காவல் நிலையம் உள்ளூர் பகுதிக்குள் சட்டம் ஒழுங்கைக் கையாள்கிறது. காவல்துறையின் ஆதரவு எல்லா நேரங்களிலும் கிடைக்கும்.")</f>
        <v>ஸ்ரீசலம் 1 டவுன் காவல் நிலையம் உள்ளூர் பகுதிக்குள் சட்டம் ஒழுங்கைக் கையாள்கிறது. காவல்துறையின் ஆதரவு எல்லா நேரங்களிலும் கிடைக்கும்.</v>
      </c>
      <c r="O192" s="10" t="str">
        <f>IFERROR(__xludf.DUMMYFUNCTION("GOOGLETRANSLATE(K192,""en"",""kn"")"),"ಶ್ರೀಸಲಾಂ 1ಟೌನ್ ಪೊಲೀಸ್ ಠಾಣೆ ಸ್ಥಳೀಯ ಪ್ರದೇಶದ ಕಾನೂನು ಮತ್ತು ಸುವ್ಯವಸ್ಥೆಯನ್ನು ನಿರ್ವಹಿಸುತ್ತದೆ. ಪೊಲೀಸ್ ಬೆಂಬಲ ಎಲ್ಲಾ ಸಮಯದಲ್ಲೂ ಲಭ್ಯವಿದೆ.")</f>
        <v>ಶ್ರೀಸಲಾಂ 1ಟೌನ್ ಪೊಲೀಸ್ ಠಾಣೆ ಸ್ಥಳೀಯ ಪ್ರದೇಶದ ಕಾನೂನು ಮತ್ತು ಸುವ್ಯವಸ್ಥೆಯನ್ನು ನಿರ್ವಹಿಸುತ್ತದೆ. ಪೊಲೀಸ್ ಬೆಂಬಲ ಎಲ್ಲಾ ಸಮಯದಲ್ಲೂ ಲಭ್ಯವಿದೆ.</v>
      </c>
      <c r="P192" s="10" t="str">
        <f>IFERROR(__xludf.DUMMYFUNCTION("GOOGLETRANSLATE(K192,""en"",""ml"")"),"ശ്രീസലാം 1 ടൗൺ പോലീസ് സ്റ്റേഷൻ പ്രാദേശിക മേഖലയിലെ ക്രമസമാധാനപാലനം കൈകാര്യം ചെയ്യുന്നു. എല്ലായ്‌പ്പോഴും പോലീസ് പിന്തുണ ലഭ്യമാണ്.")</f>
        <v>ശ്രീസലാം 1 ടൗൺ പോലീസ് സ്റ്റേഷൻ പ്രാദേശിക മേഖലയിലെ ക്രമസമാധാനപാലനം കൈകാര്യം ചെയ്യുന്നു. എല്ലായ്‌പ്പോഴും പോലീസ് പിന്തുണ ലഭ്യമാണ്.</v>
      </c>
    </row>
    <row r="193">
      <c r="A193" s="6">
        <f t="shared" si="1"/>
        <v>192</v>
      </c>
      <c r="B193" s="6" t="s">
        <v>686</v>
      </c>
      <c r="C193" s="6">
        <v>16.0779746</v>
      </c>
      <c r="D193" s="6">
        <v>78.8623732</v>
      </c>
      <c r="E193" s="5" t="s">
        <v>668</v>
      </c>
      <c r="F193" s="8" t="s">
        <v>687</v>
      </c>
      <c r="G193" s="10" t="str">
        <f>IFERROR(__xludf.DUMMYFUNCTION("GOOGLETRANSLATE(B193,""en"",""hi"")"),"फायर स्टेशन, श्रीशैलम")</f>
        <v>फायर स्टेशन, श्रीशैलम</v>
      </c>
      <c r="H193" s="10" t="str">
        <f>IFERROR(__xludf.DUMMYFUNCTION("GOOGLETRANSLATE(B193,""en"",""ta"")"),"தீயணைப்பு நிலையம், ஸ்ரீசைலம்")</f>
        <v>தீயணைப்பு நிலையம், ஸ்ரீசைலம்</v>
      </c>
      <c r="I193" s="10" t="str">
        <f>IFERROR(__xludf.DUMMYFUNCTION("GOOGLETRANSLATE(B193,""en"",""kn"")"),"ಅಗ್ನಿಶಾಮಕ ಠಾಣೆ, ಶ್ರೀಶೈಲಂ")</f>
        <v>ಅಗ್ನಿಶಾಮಕ ಠಾಣೆ, ಶ್ರೀಶೈಲಂ</v>
      </c>
      <c r="J193" s="10" t="str">
        <f>IFERROR(__xludf.DUMMYFUNCTION("GOOGLETRANSLATE(B193,""en"",""ml"")"),"ഫയർ സ്റ്റേഷൻ, ശ്രീശൈലം")</f>
        <v>ഫയർ സ്റ്റേഷൻ, ശ്രീശൈലം</v>
      </c>
      <c r="K193" s="12" t="s">
        <v>688</v>
      </c>
      <c r="L193" s="10" t="str">
        <f>IFERROR(__xludf.DUMMYFUNCTION("GOOGLETRANSLATE(K193,""en"",""te"")"),"శ్రీశైలంలోని అగ్నిమాపక కేంద్రం అత్యవసర అగ్నిమాపక మరియు రక్షణ సేవలను అందిస్తుంది. అగ్ని ప్రమాదాలు మరియు భద్రతా పరిస్థితులకు ఇది ప్రతిస్పందిస్తుంది. అత్యవసర ప్రతిస్పందన కోసం సిబ్బందికి శిక్షణ ఇవ్వబడుతుంది. సేవలు 24 గంటలూ పనిచేస్తాయి.")</f>
        <v>శ్రీశైలంలోని అగ్నిమాపక కేంద్రం అత్యవసర అగ్నిమాపక మరియు రక్షణ సేవలను అందిస్తుంది. అగ్ని ప్రమాదాలు మరియు భద్రతా పరిస్థితులకు ఇది ప్రతిస్పందిస్తుంది. అత్యవసర ప్రతిస్పందన కోసం సిబ్బందికి శిక్షణ ఇవ్వబడుతుంది. సేవలు 24 గంటలూ పనిచేస్తాయి.</v>
      </c>
      <c r="M193" s="10" t="str">
        <f>IFERROR(__xludf.DUMMYFUNCTION("GOOGLETRANSLATE(K193,""en"",""hi"")"),"श्रीशैलम स्थित अग्निशमन केंद्र आपातकालीन अग्नि और बचाव सेवाएं प्रदान करता है। यह आग दुर्घटनाओं और सुरक्षा संबंधी स्थितियों में सहायता प्रदान करता है। कर्मचारियों को आपातकालीन प्रतिक्रिया के लिए प्रशिक्षित किया जाता है। सेवाएं चौबीसों घंटे उपलब्ध रहती हैं।")</f>
        <v>श्रीशैलम स्थित अग्निशमन केंद्र आपातकालीन अग्नि और बचाव सेवाएं प्रदान करता है। यह आग दुर्घटनाओं और सुरक्षा संबंधी स्थितियों में सहायता प्रदान करता है। कर्मचारियों को आपातकालीन प्रतिक्रिया के लिए प्रशिक्षित किया जाता है। सेवाएं चौबीसों घंटे उपलब्ध रहती हैं।</v>
      </c>
      <c r="N193" s="10" t="str">
        <f>IFERROR(__xludf.DUMMYFUNCTION("GOOGLETRANSLATE(K193,""en"",""ta"")"),"ஸ்ரீசைலத்தில் உள்ள தீயணைப்பு நிலையம் அவசரகால தீயணைப்பு மற்றும் மீட்பு சேவைகளை வழங்குகிறது. தீ விபத்துகள் மற்றும் பாதுகாப்பு சூழ்நிலைகளுக்கு இது பதிலளிக்கிறது. அவசரகால மீட்புக்காக ஊழியர்களுக்கு பயிற்சி அளிக்கப்படுகிறது. சேவைகள் 24 மணி நேரமும் இயங்குகின்றன.")</f>
        <v>ஸ்ரீசைலத்தில் உள்ள தீயணைப்பு நிலையம் அவசரகால தீயணைப்பு மற்றும் மீட்பு சேவைகளை வழங்குகிறது. தீ விபத்துகள் மற்றும் பாதுகாப்பு சூழ்நிலைகளுக்கு இது பதிலளிக்கிறது. அவசரகால மீட்புக்காக ஊழியர்களுக்கு பயிற்சி அளிக்கப்படுகிறது. சேவைகள் 24 மணி நேரமும் இயங்குகின்றன.</v>
      </c>
      <c r="O193" s="10" t="str">
        <f>IFERROR(__xludf.DUMMYFUNCTION("GOOGLETRANSLATE(K193,""en"",""kn"")"),"ಶ್ರೀಶೈಲಂನಲ್ಲಿರುವ ಅಗ್ನಿಶಾಮಕ ಠಾಣೆಯು ತುರ್ತು ಅಗ್ನಿಶಾಮಕ ಮತ್ತು ರಕ್ಷಣಾ ಸೇವೆಗಳನ್ನು ಒದಗಿಸುತ್ತದೆ. ಇದು ಬೆಂಕಿ ಅಪಘಾತಗಳು ಮತ್ತು ಸುರಕ್ಷತಾ ಸಂದರ್ಭಗಳಿಗೆ ಸ್ಪಂದಿಸುತ್ತದೆ. ತುರ್ತು ಪ್ರತಿಕ್ರಿಯೆಗಾಗಿ ಸಿಬ್ಬಂದಿಗೆ ತರಬೇತಿ ನೀಡಲಾಗುತ್ತದೆ. ಸೇವೆಗಳು ದಿನದ 24 ಗಂಟೆಯೂ ಕಾರ್ಯನಿರ್ವಹಿಸುತ್ತವೆ.")</f>
        <v>ಶ್ರೀಶೈಲಂನಲ್ಲಿರುವ ಅಗ್ನಿಶಾಮಕ ಠಾಣೆಯು ತುರ್ತು ಅಗ್ನಿಶಾಮಕ ಮತ್ತು ರಕ್ಷಣಾ ಸೇವೆಗಳನ್ನು ಒದಗಿಸುತ್ತದೆ. ಇದು ಬೆಂಕಿ ಅಪಘಾತಗಳು ಮತ್ತು ಸುರಕ್ಷತಾ ಸಂದರ್ಭಗಳಿಗೆ ಸ್ಪಂದಿಸುತ್ತದೆ. ತುರ್ತು ಪ್ರತಿಕ್ರಿಯೆಗಾಗಿ ಸಿಬ್ಬಂದಿಗೆ ತರಬೇತಿ ನೀಡಲಾಗುತ್ತದೆ. ಸೇವೆಗಳು ದಿನದ 24 ಗಂಟೆಯೂ ಕಾರ್ಯನಿರ್ವಹಿಸುತ್ತವೆ.</v>
      </c>
      <c r="P193" s="10" t="str">
        <f>IFERROR(__xludf.DUMMYFUNCTION("GOOGLETRANSLATE(K193,""en"",""ml"")"),"ശ്രീശൈലത്തിലെ ഫയർ സ്റ്റേഷൻ അടിയന്തര ഫയർ ആൻഡ് റെസ്ക്യൂ സേവനങ്ങൾ നൽകുന്നു. തീപിടുത്ത അപകടങ്ങളിലും സുരക്ഷാ സാഹചര്യങ്ങളിലും ഇത് പ്രതികരിക്കുന്നു. അടിയന്തര പ്രതികരണത്തിനായി ജീവനക്കാർക്ക് പരിശീലനം നൽകിയിട്ടുണ്ട്. സേവനങ്ങൾ 24 മണിക്കൂറും പ്രവർത്തിക്കുന്നു.")</f>
        <v>ശ്രീശൈലത്തിലെ ഫയർ സ്റ്റേഷൻ അടിയന്തര ഫയർ ആൻഡ് റെസ്ക്യൂ സേവനങ്ങൾ നൽകുന്നു. തീപിടുത്ത അപകടങ്ങളിലും സുരക്ഷാ സാഹചര്യങ്ങളിലും ഇത് പ്രതികരിക്കുന്നു. അടിയന്തര പ്രതികരണത്തിനായി ജീവനക്കാർക്ക് പരിശീലനം നൽകിയിട്ടുണ്ട്. സേവനങ്ങൾ 24 മണിക്കൂറും പ്രവർത്തിക്കുന്നു.</v>
      </c>
    </row>
    <row r="194">
      <c r="A194" s="6">
        <f t="shared" si="1"/>
        <v>193</v>
      </c>
      <c r="B194" s="6" t="s">
        <v>689</v>
      </c>
      <c r="C194" s="6">
        <v>16.0704238</v>
      </c>
      <c r="D194" s="6">
        <v>78.8693156</v>
      </c>
      <c r="E194" s="5" t="s">
        <v>668</v>
      </c>
      <c r="F194" s="8" t="s">
        <v>690</v>
      </c>
      <c r="G194" s="8" t="s">
        <v>691</v>
      </c>
      <c r="H194" s="10" t="str">
        <f>IFERROR(__xludf.DUMMYFUNCTION("GOOGLETRANSLATE(B194,""en"",""ta"")"),"துணை தபால் அலுவலகம்")</f>
        <v>துணை தபால் அலுவலகம்</v>
      </c>
      <c r="I194" s="10" t="str">
        <f>IFERROR(__xludf.DUMMYFUNCTION("GOOGLETRANSLATE(B194,""en"",""kn"")"),"ಉಪ ಅಂಚೆ ಕಚೇರಿ")</f>
        <v>ಉಪ ಅಂಚೆ ಕಚೇರಿ</v>
      </c>
      <c r="J194" s="10" t="str">
        <f>IFERROR(__xludf.DUMMYFUNCTION("GOOGLETRANSLATE(B194,""en"",""ml"")"),"സബ് പോസ്റ്റ് ഓഫീസ്")</f>
        <v>സബ് പോസ്റ്റ് ഓഫീസ്</v>
      </c>
      <c r="K194" s="12" t="s">
        <v>692</v>
      </c>
      <c r="L194" s="10" t="str">
        <f>IFERROR(__xludf.DUMMYFUNCTION("GOOGLETRANSLATE(K194,""en"",""te"")"),"సబ్ పోస్ట్ ఆఫీస్ మెయిల్ మరియు పార్శిల్స్‌తో సహా పోస్టల్ సేవలను అందిస్తుంది. ప్రాథమిక బ్యాంకింగ్ సంబంధిత పోస్టల్ సేవలు కూడా అందుబాటులో ఉండవచ్చు. ఇది నివాసితులకు మరియు సందర్శకులకు సేవలు అందిస్తుంది. కార్యకలాపాలు ప్రామాణిక పని గంటలను అనుసరిస్తాయి.")</f>
        <v>సబ్ పోస్ట్ ఆఫీస్ మెయిల్ మరియు పార్శిల్స్‌తో సహా పోస్టల్ సేవలను అందిస్తుంది. ప్రాథమిక బ్యాంకింగ్ సంబంధిత పోస్టల్ సేవలు కూడా అందుబాటులో ఉండవచ్చు. ఇది నివాసితులకు మరియు సందర్శకులకు సేవలు అందిస్తుంది. కార్యకలాపాలు ప్రామాణిక పని గంటలను అనుసరిస్తాయి.</v>
      </c>
      <c r="M194" s="10" t="str">
        <f>IFERROR(__xludf.DUMMYFUNCTION("GOOGLETRANSLATE(K194,""en"",""hi"")"),"यह उप डाकघर डाक और पार्सल सहित डाक सेवाएं प्रदान करता है। बुनियादी बैंकिंग संबंधी डाक सेवाएं भी उपलब्ध हो सकती हैं। यह निवासियों और आगंतुकों दोनों की सेवा करता है। कार्यालय नियमित कार्य समय के अनुसार खुला रहता है।")</f>
        <v>यह उप डाकघर डाक और पार्सल सहित डाक सेवाएं प्रदान करता है। बुनियादी बैंकिंग संबंधी डाक सेवाएं भी उपलब्ध हो सकती हैं। यह निवासियों और आगंतुकों दोनों की सेवा करता है। कार्यालय नियमित कार्य समय के अनुसार खुला रहता है।</v>
      </c>
      <c r="N194" s="10" t="str">
        <f>IFERROR(__xludf.DUMMYFUNCTION("GOOGLETRANSLATE(K194,""en"",""ta"")"),"துணை தபால் அலுவலகம் அஞ்சல் மற்றும் பார்சல்கள் உள்ளிட்ட அஞ்சல் சேவைகளை வழங்குகிறது. அடிப்படை வங்கி தொடர்பான அஞ்சல் சேவைகளும் கிடைக்கக்கூடும். இது குடியிருப்பாளர்களுக்கும் பார்வையாளர்களுக்கும் சேவை செய்கிறது. செயல்பாடுகள் நிலையான வேலை நேரங்களைப் பின்பற்றுகி"&amp;"ன்றன.")</f>
        <v>துணை தபால் அலுவலகம் அஞ்சல் மற்றும் பார்சல்கள் உள்ளிட்ட அஞ்சல் சேவைகளை வழங்குகிறது. அடிப்படை வங்கி தொடர்பான அஞ்சல் சேவைகளும் கிடைக்கக்கூடும். இது குடியிருப்பாளர்களுக்கும் பார்வையாளர்களுக்கும் சேவை செய்கிறது. செயல்பாடுகள் நிலையான வேலை நேரங்களைப் பின்பற்றுகின்றன.</v>
      </c>
      <c r="O194" s="10" t="str">
        <f>IFERROR(__xludf.DUMMYFUNCTION("GOOGLETRANSLATE(K194,""en"",""kn"")"),"ಉಪ ಅಂಚೆ ಕಚೇರಿಯು ಅಂಚೆ ಮತ್ತು ಪಾರ್ಸೆಲ್‌ಗಳು ಸೇರಿದಂತೆ ಅಂಚೆ ಸೇವೆಗಳನ್ನು ಒದಗಿಸುತ್ತದೆ. ಮೂಲಭೂತ ಬ್ಯಾಂಕಿಂಗ್ ಸಂಬಂಧಿತ ಅಂಚೆ ಸೇವೆಗಳು ಸಹ ಲಭ್ಯವಿರಬಹುದು. ಇದು ನಿವಾಸಿಗಳು ಮತ್ತು ಸಂದರ್ಶಕರಿಗೆ ಸೇವೆ ಸಲ್ಲಿಸುತ್ತದೆ. ಕಾರ್ಯಾಚರಣೆಗಳು ಪ್ರಮಾಣಿತ ಕೆಲಸದ ಸಮಯವನ್ನು ಅನುಸರಿಸುತ್ತವೆ.")</f>
        <v>ಉಪ ಅಂಚೆ ಕಚೇರಿಯು ಅಂಚೆ ಮತ್ತು ಪಾರ್ಸೆಲ್‌ಗಳು ಸೇರಿದಂತೆ ಅಂಚೆ ಸೇವೆಗಳನ್ನು ಒದಗಿಸುತ್ತದೆ. ಮೂಲಭೂತ ಬ್ಯಾಂಕಿಂಗ್ ಸಂಬಂಧಿತ ಅಂಚೆ ಸೇವೆಗಳು ಸಹ ಲಭ್ಯವಿರಬಹುದು. ಇದು ನಿವಾಸಿಗಳು ಮತ್ತು ಸಂದರ್ಶಕರಿಗೆ ಸೇವೆ ಸಲ್ಲಿಸುತ್ತದೆ. ಕಾರ್ಯಾಚರಣೆಗಳು ಪ್ರಮಾಣಿತ ಕೆಲಸದ ಸಮಯವನ್ನು ಅನುಸರಿಸುತ್ತವೆ.</v>
      </c>
      <c r="P194" s="10" t="str">
        <f>IFERROR(__xludf.DUMMYFUNCTION("GOOGLETRANSLATE(K194,""en"",""ml"")"),"സബ് പോസ്റ്റ് ഓഫീസ് തപാൽ, പാഴ്‌സലുകൾ ഉൾപ്പെടെയുള്ള തപാൽ സേവനങ്ങൾ വാഗ്ദാനം ചെയ്യുന്നു. ബാങ്കിംഗുമായി ബന്ധപ്പെട്ട അടിസ്ഥാന തപാൽ സേവനങ്ങളും ലഭ്യമായേക്കാം. ഇത് താമസക്കാർക്കും സന്ദർശകർക്കും സേവനം നൽകുന്നു. പ്രവർത്തനങ്ങൾ സാധാരണ പ്രവൃത്തി സമയങ്ങൾ പാലിക്കുന്നു.")</f>
        <v>സബ് പോസ്റ്റ് ഓഫീസ് തപാൽ, പാഴ്‌സലുകൾ ഉൾപ്പെടെയുള്ള തപാൽ സേവനങ്ങൾ വാഗ്ദാനം ചെയ്യുന്നു. ബാങ്കിംഗുമായി ബന്ധപ്പെട്ട അടിസ്ഥാന തപാൽ സേവനങ്ങളും ലഭ്യമായേക്കാം. ഇത് താമസക്കാർക്കും സന്ദർശകർക്കും സേവനം നൽകുന്നു. പ്രവർത്തനങ്ങൾ സാധാരണ പ്രവൃത്തി സമയങ്ങൾ പാലിക്കുന്നു.</v>
      </c>
    </row>
    <row r="195">
      <c r="A195" s="6">
        <f t="shared" si="1"/>
        <v>194</v>
      </c>
      <c r="B195" s="6" t="s">
        <v>693</v>
      </c>
      <c r="C195" s="6">
        <v>16.0733321</v>
      </c>
      <c r="D195" s="6">
        <v>78.8617424</v>
      </c>
      <c r="E195" s="5" t="s">
        <v>668</v>
      </c>
      <c r="F195" s="11" t="str">
        <f>IFERROR(__xludf.DUMMYFUNCTION("GOOGLETRANSLATE(B195,""en"",""te"")"),"విజ్డమ్ స్కూల్")</f>
        <v>విజ్డమ్ స్కూల్</v>
      </c>
      <c r="G195" s="10" t="str">
        <f>IFERROR(__xludf.DUMMYFUNCTION("GOOGLETRANSLATE(B195,""en"",""hi"")"),"ज्ञान विद्यालय")</f>
        <v>ज्ञान विद्यालय</v>
      </c>
      <c r="H195" s="10" t="str">
        <f>IFERROR(__xludf.DUMMYFUNCTION("GOOGLETRANSLATE(B195,""en"",""ta"")"),"ஞானப் பள்ளி")</f>
        <v>ஞானப் பள்ளி</v>
      </c>
      <c r="I195" s="10" t="str">
        <f>IFERROR(__xludf.DUMMYFUNCTION("GOOGLETRANSLATE(B195,""en"",""kn"")"),"ವಿಸ್ಡಮ್ ಸ್ಕೂಲ್")</f>
        <v>ವಿಸ್ಡಮ್ ಸ್ಕೂಲ್</v>
      </c>
      <c r="J195" s="10" t="str">
        <f>IFERROR(__xludf.DUMMYFUNCTION("GOOGLETRANSLATE(B195,""en"",""ml"")"),"വിസ്ഡം സ്കൂൾ")</f>
        <v>വിസ്ഡം സ്കൂൾ</v>
      </c>
      <c r="K195" s="12" t="s">
        <v>694</v>
      </c>
      <c r="L195" s="10" t="str">
        <f>IFERROR(__xludf.DUMMYFUNCTION("GOOGLETRANSLATE(K195,""en"",""te"")"),"విజ్డమ్ స్కూల్ అనేది స్థానిక విద్యార్థులకు సేవలందించే విద్యా సంస్థ. ఇది క్రమం తప్పకుండా విద్యా బోధనను అందిస్తుంది. ఈ పాఠశాల పగటిపూట పనిచేస్తుంది. ప్రవేశం ప్రధానంగా నమోదు చేసుకున్న విద్యార్థులకే.")</f>
        <v>విజ్డమ్ స్కూల్ అనేది స్థానిక విద్యార్థులకు సేవలందించే విద్యా సంస్థ. ఇది క్రమం తప్పకుండా విద్యా బోధనను అందిస్తుంది. ఈ పాఠశాల పగటిపూట పనిచేస్తుంది. ప్రవేశం ప్రధానంగా నమోదు చేసుకున్న విద్యార్థులకే.</v>
      </c>
      <c r="M195" s="10" t="str">
        <f>IFERROR(__xludf.DUMMYFUNCTION("GOOGLETRANSLATE(K195,""en"",""hi"")"),"विजडम स्कूल स्थानीय छात्रों को शिक्षा प्रदान करने वाला एक शैक्षणिक संस्थान है। यह नियमित शैक्षणिक निर्देश प्रदान करता है। स्कूल दिन के समय संचालित होता है। इसमें मुख्य रूप से नामांकित छात्र ही प्रवेश ले सकते हैं।")</f>
        <v>विजडम स्कूल स्थानीय छात्रों को शिक्षा प्रदान करने वाला एक शैक्षणिक संस्थान है। यह नियमित शैक्षणिक निर्देश प्रदान करता है। स्कूल दिन के समय संचालित होता है। इसमें मुख्य रूप से नामांकित छात्र ही प्रवेश ले सकते हैं।</v>
      </c>
      <c r="N195" s="10" t="str">
        <f>IFERROR(__xludf.DUMMYFUNCTION("GOOGLETRANSLATE(K195,""en"",""ta"")"),"விஸ்டம் பள்ளி என்பது உள்ளூர் மாணவர்களுக்கு சேவை செய்யும் ஒரு கல்வி நிறுவனமாகும். இது வழக்கமான கல்வி வழிமுறைகளை வழங்குகிறது. பள்ளி பகல் நேரங்களில் இயங்குகிறது. சேர்க்கை முக்கியமாக சேர்ந்த மாணவர்களுக்கானது.")</f>
        <v>விஸ்டம் பள்ளி என்பது உள்ளூர் மாணவர்களுக்கு சேவை செய்யும் ஒரு கல்வி நிறுவனமாகும். இது வழக்கமான கல்வி வழிமுறைகளை வழங்குகிறது. பள்ளி பகல் நேரங்களில் இயங்குகிறது. சேர்க்கை முக்கியமாக சேர்ந்த மாணவர்களுக்கானது.</v>
      </c>
      <c r="O195" s="10" t="str">
        <f>IFERROR(__xludf.DUMMYFUNCTION("GOOGLETRANSLATE(K195,""en"",""kn"")"),"ವಿಸ್ಡಮ್ ಸ್ಕೂಲ್ ಸ್ಥಳೀಯ ವಿದ್ಯಾರ್ಥಿಗಳಿಗೆ ಸೇವೆ ಸಲ್ಲಿಸುವ ಶಿಕ್ಷಣ ಸಂಸ್ಥೆಯಾಗಿದೆ. ಇದು ನಿಯಮಿತ ಶೈಕ್ಷಣಿಕ ಬೋಧನೆಯನ್ನು ಒದಗಿಸುತ್ತದೆ. ಶಾಲೆಯು ಹಗಲಿನ ವೇಳೆಯಲ್ಲಿ ಕಾರ್ಯನಿರ್ವಹಿಸುತ್ತದೆ. ಪ್ರವೇಶವು ಮುಖ್ಯವಾಗಿ ದಾಖಲಾದ ವಿದ್ಯಾರ್ಥಿಗಳಿಗೆ ಮಾತ್ರ.")</f>
        <v>ವಿಸ್ಡಮ್ ಸ್ಕೂಲ್ ಸ್ಥಳೀಯ ವಿದ್ಯಾರ್ಥಿಗಳಿಗೆ ಸೇವೆ ಸಲ್ಲಿಸುವ ಶಿಕ್ಷಣ ಸಂಸ್ಥೆಯಾಗಿದೆ. ಇದು ನಿಯಮಿತ ಶೈಕ್ಷಣಿಕ ಬೋಧನೆಯನ್ನು ಒದಗಿಸುತ್ತದೆ. ಶಾಲೆಯು ಹಗಲಿನ ವೇಳೆಯಲ್ಲಿ ಕಾರ್ಯನಿರ್ವಹಿಸುತ್ತದೆ. ಪ್ರವೇಶವು ಮುಖ್ಯವಾಗಿ ದಾಖಲಾದ ವಿದ್ಯಾರ್ಥಿಗಳಿಗೆ ಮಾತ್ರ.</v>
      </c>
      <c r="P195" s="10" t="str">
        <f>IFERROR(__xludf.DUMMYFUNCTION("GOOGLETRANSLATE(K195,""en"",""ml"")"),"വിസ്ഡം സ്കൂൾ പ്രാദേശിക വിദ്യാർത്ഥികൾക്ക് സേവനം നൽകുന്ന ഒരു വിദ്യാഭ്യാസ സ്ഥാപനമാണ്. ഇത് പതിവ് അക്കാദമിക് നിർദ്ദേശങ്ങൾ നൽകുന്നു. പകൽ സമയങ്ങളിലാണ് സ്കൂൾ പ്രവർത്തിക്കുന്നത്. പ്രവേശനം പ്രധാനമായും എൻറോൾ ചെയ്ത വിദ്യാർത്ഥികൾക്കാണ്.")</f>
        <v>വിസ്ഡം സ്കൂൾ പ്രാദേശിക വിദ്യാർത്ഥികൾക്ക് സേവനം നൽകുന്ന ഒരു വിദ്യാഭ്യാസ സ്ഥാപനമാണ്. ഇത് പതിവ് അക്കാദമിക് നിർദ്ദേശങ്ങൾ നൽകുന്നു. പകൽ സമയങ്ങളിലാണ് സ്കൂൾ പ്രവർത്തിക്കുന്നത്. പ്രവേശനം പ്രധാനമായും എൻറോൾ ചെയ്ത വിദ്യാർത്ഥികൾക്കാണ്.</v>
      </c>
    </row>
    <row r="196">
      <c r="A196" s="6">
        <f t="shared" si="1"/>
        <v>195</v>
      </c>
      <c r="B196" s="6" t="s">
        <v>695</v>
      </c>
      <c r="C196" s="6">
        <v>16.0730602</v>
      </c>
      <c r="D196" s="6">
        <v>78.8630738</v>
      </c>
      <c r="E196" s="5" t="s">
        <v>668</v>
      </c>
      <c r="F196" s="11" t="str">
        <f>IFERROR(__xludf.DUMMYFUNCTION("GOOGLETRANSLATE(B196,""en"",""te"")"),"చైతన్య స్కూల్")</f>
        <v>చైతన్య స్కూల్</v>
      </c>
      <c r="G196" s="10" t="str">
        <f>IFERROR(__xludf.DUMMYFUNCTION("GOOGLETRANSLATE(B196,""en"",""hi"")"),"चैतन्य स्कूल")</f>
        <v>चैतन्य स्कूल</v>
      </c>
      <c r="H196" s="10" t="str">
        <f>IFERROR(__xludf.DUMMYFUNCTION("GOOGLETRANSLATE(B196,""en"",""ta"")"),"சைதன்யா பள்ளி")</f>
        <v>சைதன்யா பள்ளி</v>
      </c>
      <c r="I196" s="10" t="str">
        <f>IFERROR(__xludf.DUMMYFUNCTION("GOOGLETRANSLATE(B196,""en"",""kn"")"),"ಚೈತನ್ಯ ಶಾಲೆ")</f>
        <v>ಚೈತನ್ಯ ಶಾಲೆ</v>
      </c>
      <c r="J196" s="10" t="str">
        <f>IFERROR(__xludf.DUMMYFUNCTION("GOOGLETRANSLATE(B196,""en"",""ml"")"),"ചൈതന്യ സ്കൂൾ")</f>
        <v>ചൈതന്യ സ്കൂൾ</v>
      </c>
      <c r="K196" s="12" t="s">
        <v>696</v>
      </c>
      <c r="L196" s="10" t="str">
        <f>IFERROR(__xludf.DUMMYFUNCTION("GOOGLETRANSLATE(K196,""en"",""te"")"),"చైతన్య స్కూల్ ఈ ప్రాంతంలోని పిల్లలకు అధికారిక విద్యను అందిస్తుంది. ఇది నిర్మాణాత్మక విద్యా షెడ్యూల్‌ను అనుసరిస్తుంది. పాఠశాల కార్యకలాపాలు పని దినాలలో జరుగుతాయి. ప్రవేశం విద్యార్థులు మరియు సిబ్బందికి మాత్రమే పరిమితం.")</f>
        <v>చైతన్య స్కూల్ ఈ ప్రాంతంలోని పిల్లలకు అధికారిక విద్యను అందిస్తుంది. ఇది నిర్మాణాత్మక విద్యా షెడ్యూల్‌ను అనుసరిస్తుంది. పాఠశాల కార్యకలాపాలు పని దినాలలో జరుగుతాయి. ప్రవేశం విద్యార్థులు మరియు సిబ్బందికి మాత్రమే పరిమితం.</v>
      </c>
      <c r="M196" s="10" t="str">
        <f>IFERROR(__xludf.DUMMYFUNCTION("GOOGLETRANSLATE(K196,""en"",""hi"")"),"चैतन्य स्कूल क्षेत्र के बच्चों को औपचारिक शिक्षा प्रदान करता है। यह एक सुनियोजित शैक्षणिक कार्यक्रम का पालन करता है। स्कूल की गतिविधियाँ कार्यदिवसों में ही चलती हैं। प्रवेश केवल छात्रों और कर्मचारियों तक ही सीमित है।")</f>
        <v>चैतन्य स्कूल क्षेत्र के बच्चों को औपचारिक शिक्षा प्रदान करता है। यह एक सुनियोजित शैक्षणिक कार्यक्रम का पालन करता है। स्कूल की गतिविधियाँ कार्यदिवसों में ही चलती हैं। प्रवेश केवल छात्रों और कर्मचारियों तक ही सीमित है।</v>
      </c>
      <c r="N196" s="10" t="str">
        <f>IFERROR(__xludf.DUMMYFUNCTION("GOOGLETRANSLATE(K196,""en"",""ta"")"),"சைதன்யா பள்ளி, இந்தப் பகுதியில் உள்ள குழந்தைகளுக்கு முறையான கல்வியை வழங்குகிறது. இது ஒரு கட்டமைக்கப்பட்ட கல்வி அட்டவணையைப் பின்பற்றுகிறது. பள்ளி நடவடிக்கைகள் வேலை நாட்களில் நடைபெறும். மாணவர்கள் மற்றும் ஊழியர்களுக்கு மட்டுமே நுழைவு அனுமதி.")</f>
        <v>சைதன்யா பள்ளி, இந்தப் பகுதியில் உள்ள குழந்தைகளுக்கு முறையான கல்வியை வழங்குகிறது. இது ஒரு கட்டமைக்கப்பட்ட கல்வி அட்டவணையைப் பின்பற்றுகிறது. பள்ளி நடவடிக்கைகள் வேலை நாட்களில் நடைபெறும். மாணவர்கள் மற்றும் ஊழியர்களுக்கு மட்டுமே நுழைவு அனுமதி.</v>
      </c>
      <c r="O196" s="10" t="str">
        <f>IFERROR(__xludf.DUMMYFUNCTION("GOOGLETRANSLATE(K196,""en"",""kn"")"),"ಚೈತನ್ಯ ಶಾಲೆಯು ಈ ಪ್ರದೇಶದ ಮಕ್ಕಳಿಗೆ ಔಪಚಾರಿಕ ಶಿಕ್ಷಣವನ್ನು ನೀಡುತ್ತದೆ. ಇದು ರಚನಾತ್ಮಕ ಶೈಕ್ಷಣಿಕ ವೇಳಾಪಟ್ಟಿಯನ್ನು ಅನುಸರಿಸುತ್ತದೆ. ಶಾಲಾ ಚಟುವಟಿಕೆಗಳು ಕೆಲಸದ ದಿನಗಳಲ್ಲಿ ನಡೆಯುತ್ತವೆ. ಪ್ರವೇಶವು ವಿದ್ಯಾರ್ಥಿಗಳು ಮತ್ತು ಸಿಬ್ಬಂದಿಗೆ ಸೀಮಿತವಾಗಿದೆ.")</f>
        <v>ಚೈತನ್ಯ ಶಾಲೆಯು ಈ ಪ್ರದೇಶದ ಮಕ್ಕಳಿಗೆ ಔಪಚಾರಿಕ ಶಿಕ್ಷಣವನ್ನು ನೀಡುತ್ತದೆ. ಇದು ರಚನಾತ್ಮಕ ಶೈಕ್ಷಣಿಕ ವೇಳಾಪಟ್ಟಿಯನ್ನು ಅನುಸರಿಸುತ್ತದೆ. ಶಾಲಾ ಚಟುವಟಿಕೆಗಳು ಕೆಲಸದ ದಿನಗಳಲ್ಲಿ ನಡೆಯುತ್ತವೆ. ಪ್ರವೇಶವು ವಿದ್ಯಾರ್ಥಿಗಳು ಮತ್ತು ಸಿಬ್ಬಂದಿಗೆ ಸೀಮಿತವಾಗಿದೆ.</v>
      </c>
      <c r="P196" s="10" t="str">
        <f>IFERROR(__xludf.DUMMYFUNCTION("GOOGLETRANSLATE(K196,""en"",""ml"")"),"ചൈതന്യ സ്കൂൾ പ്രദേശത്തെ കുട്ടികൾക്ക് ഔപചാരിക വിദ്യാഭ്യാസം നൽകുന്നു. ഇത് ഒരു ഘടനാപരമായ അക്കാദമിക് ഷെഡ്യൂൾ പിന്തുടരുന്നു. സ്കൂൾ പ്രവർത്തനങ്ങൾ പ്രവൃത്തി ദിവസങ്ങളിലാണ് നടക്കുന്നത്. പ്രവേശനം വിദ്യാർത്ഥികൾക്കും ജീവനക്കാർക്കും മാത്രമായി പരിമിതപ്പെടുത്തിയിരിക്കുന"&amp;"്നു.")</f>
        <v>ചൈതന്യ സ്കൂൾ പ്രദേശത്തെ കുട്ടികൾക്ക് ഔപചാരിക വിദ്യാഭ്യാസം നൽകുന്നു. ഇത് ഒരു ഘടനാപരമായ അക്കാദമിക് ഷെഡ്യൂൾ പിന്തുടരുന്നു. സ്കൂൾ പ്രവർത്തനങ്ങൾ പ്രവൃത്തി ദിവസങ്ങളിലാണ് നടക്കുന്നത്. പ്രവേശനം വിദ്യാർത്ഥികൾക്കും ജീവനക്കാർക്കും മാത്രമായി പരിമിതപ്പെടുത്തിയിരിക്കുന്നു.</v>
      </c>
    </row>
    <row r="197">
      <c r="A197" s="6">
        <f t="shared" si="1"/>
        <v>196</v>
      </c>
      <c r="B197" s="6" t="s">
        <v>697</v>
      </c>
      <c r="C197" s="6">
        <v>16.0736824</v>
      </c>
      <c r="D197" s="6">
        <v>78.8645977</v>
      </c>
      <c r="E197" s="5" t="s">
        <v>668</v>
      </c>
      <c r="F197" s="8" t="s">
        <v>698</v>
      </c>
      <c r="G197" s="8" t="s">
        <v>699</v>
      </c>
      <c r="H197" s="10" t="str">
        <f>IFERROR(__xludf.DUMMYFUNCTION("GOOGLETRANSLATE(B197,""en"",""ta"")"),"உயர்நிலைப் பள்ளி")</f>
        <v>உயர்நிலைப் பள்ளி</v>
      </c>
      <c r="I197" s="10" t="str">
        <f>IFERROR(__xludf.DUMMYFUNCTION("GOOGLETRANSLATE(B197,""en"",""kn"")"),"ಪ್ರೌಢಶಾಲೆ")</f>
        <v>ಪ್ರೌಢಶಾಲೆ</v>
      </c>
      <c r="J197" s="10" t="str">
        <f>IFERROR(__xludf.DUMMYFUNCTION("GOOGLETRANSLATE(B197,""en"",""ml"")"),"ഹൈസ്കൂൾ")</f>
        <v>ഹൈസ്കൂൾ</v>
      </c>
      <c r="K197" s="12" t="s">
        <v>700</v>
      </c>
      <c r="L197" s="10" t="str">
        <f>IFERROR(__xludf.DUMMYFUNCTION("GOOGLETRANSLATE(K197,""en"",""te"")"),"ఈ ఉన్నత పాఠశాల మాధ్యమిక స్థాయి విద్యను అందిస్తుంది. ఇది చుట్టుపక్కల ప్రాంతాల నుండి వచ్చే విద్యార్థులకు సేవలు అందిస్తుంది. తరగతులు సాధారణ పాఠశాల రోజులలో నిర్వహించబడతాయి.")</f>
        <v>ఈ ఉన్నత పాఠశాల మాధ్యమిక స్థాయి విద్యను అందిస్తుంది. ఇది చుట్టుపక్కల ప్రాంతాల నుండి వచ్చే విద్యార్థులకు సేవలు అందిస్తుంది. తరగతులు సాధారణ పాఠశాల రోజులలో నిర్వహించబడతాయి.</v>
      </c>
      <c r="M197" s="10" t="str">
        <f>IFERROR(__xludf.DUMMYFUNCTION("GOOGLETRANSLATE(K197,""en"",""hi"")"),"यह हाई स्कूल माध्यमिक स्तर की शिक्षा प्रदान करता है। यह आसपास के क्षेत्रों के छात्रों को शिक्षा प्रदान करता है। कक्षाएं नियमित स्कूल के दिनों में संचालित होती हैं।")</f>
        <v>यह हाई स्कूल माध्यमिक स्तर की शिक्षा प्रदान करता है। यह आसपास के क्षेत्रों के छात्रों को शिक्षा प्रदान करता है। कक्षाएं नियमित स्कूल के दिनों में संचालित होती हैं।</v>
      </c>
      <c r="N197" s="10" t="str">
        <f>IFERROR(__xludf.DUMMYFUNCTION("GOOGLETRANSLATE(K197,""en"",""ta"")"),"இந்த உயர்நிலைப் பள்ளி இடைநிலைக் கல்வியை வழங்குகிறது. இது சுற்றியுள்ள பகுதிகளைச் சேர்ந்த மாணவர்களுக்கு சேவை செய்கிறது. வழக்கமான பள்ளி நாட்களில் வகுப்புகள் நடத்தப்படுகின்றன.")</f>
        <v>இந்த உயர்நிலைப் பள்ளி இடைநிலைக் கல்வியை வழங்குகிறது. இது சுற்றியுள்ள பகுதிகளைச் சேர்ந்த மாணவர்களுக்கு சேவை செய்கிறது. வழக்கமான பள்ளி நாட்களில் வகுப்புகள் நடத்தப்படுகின்றன.</v>
      </c>
      <c r="O197" s="10" t="str">
        <f>IFERROR(__xludf.DUMMYFUNCTION("GOOGLETRANSLATE(K197,""en"",""kn"")"),"ಈ ಪ್ರೌಢಶಾಲೆಯು ಮಾಧ್ಯಮಿಕ ಮಟ್ಟದ ಶಿಕ್ಷಣವನ್ನು ಒದಗಿಸುತ್ತದೆ. ಇದು ಸುತ್ತಮುತ್ತಲಿನ ಪ್ರದೇಶಗಳ ವಿದ್ಯಾರ್ಥಿಗಳಿಗೆ ಸೇವೆ ಸಲ್ಲಿಸುತ್ತದೆ. ತರಗತಿಗಳನ್ನು ನಿಯಮಿತ ಶಾಲಾ ದಿನಗಳಲ್ಲಿ ನಡೆಸಲಾಗುತ್ತದೆ.")</f>
        <v>ಈ ಪ್ರೌಢಶಾಲೆಯು ಮಾಧ್ಯಮಿಕ ಮಟ್ಟದ ಶಿಕ್ಷಣವನ್ನು ಒದಗಿಸುತ್ತದೆ. ಇದು ಸುತ್ತಮುತ್ತಲಿನ ಪ್ರದೇಶಗಳ ವಿದ್ಯಾರ್ಥಿಗಳಿಗೆ ಸೇವೆ ಸಲ್ಲಿಸುತ್ತದೆ. ತರಗತಿಗಳನ್ನು ನಿಯಮಿತ ಶಾಲಾ ದಿನಗಳಲ್ಲಿ ನಡೆಸಲಾಗುತ್ತದೆ.</v>
      </c>
      <c r="P197" s="10" t="str">
        <f>IFERROR(__xludf.DUMMYFUNCTION("GOOGLETRANSLATE(K197,""en"",""ml"")"),"ഹൈസ്കൂൾ സെക്കൻഡറി തല വിദ്യാഭ്യാസം നൽകുന്നു. ചുറ്റുമുള്ള പ്രദേശങ്ങളിൽ നിന്നുള്ള വിദ്യാർത്ഥികൾക്കാണ് ഇത് സേവനം നൽകുന്നത്. പതിവ് സ്കൂൾ ദിവസങ്ങളിൽ ക്ലാസുകൾ നടക്കുന്നു.")</f>
        <v>ഹൈസ്കൂൾ സെക്കൻഡറി തല വിദ്യാഭ്യാസം നൽകുന്നു. ചുറ്റുമുള്ള പ്രദേശങ്ങളിൽ നിന്നുള്ള വിദ്യാർത്ഥികൾക്കാണ് ഇത് സേവനം നൽകുന്നത്. പതിവ് സ്കൂൾ ദിവസങ്ങളിൽ ക്ലാസുകൾ നടക്കുന്നു.</v>
      </c>
    </row>
    <row r="198">
      <c r="A198" s="6">
        <f t="shared" si="1"/>
        <v>197</v>
      </c>
      <c r="B198" s="6" t="s">
        <v>701</v>
      </c>
      <c r="C198" s="6">
        <v>16.0736489</v>
      </c>
      <c r="D198" s="6">
        <v>78.8642877</v>
      </c>
      <c r="E198" s="5" t="s">
        <v>668</v>
      </c>
      <c r="F198" s="11" t="str">
        <f>IFERROR(__xludf.DUMMYFUNCTION("GOOGLETRANSLATE(B198,""en"",""te"")"),"ZPHS శ్రీశైలం")</f>
        <v>ZPHS శ్రీశైలం</v>
      </c>
      <c r="G198" s="10" t="str">
        <f>IFERROR(__xludf.DUMMYFUNCTION("GOOGLETRANSLATE(B198,""en"",""hi"")"),"जेडपीएचएस श्रीशैलम")</f>
        <v>जेडपीएचएस श्रीशैलम</v>
      </c>
      <c r="H198" s="10" t="str">
        <f>IFERROR(__xludf.DUMMYFUNCTION("GOOGLETRANSLATE(B198,""en"",""ta"")"),"ZPHS ஸ்ரீசைலம்")</f>
        <v>ZPHS ஸ்ரீசைலம்</v>
      </c>
      <c r="I198" s="10" t="str">
        <f>IFERROR(__xludf.DUMMYFUNCTION("GOOGLETRANSLATE(B198,""en"",""kn"")"),"ZPHS ಶ್ರೀಶೈಲಂ")</f>
        <v>ZPHS ಶ್ರೀಶೈಲಂ</v>
      </c>
      <c r="J198" s="10" t="str">
        <f>IFERROR(__xludf.DUMMYFUNCTION("GOOGLETRANSLATE(B198,""en"",""ml"")"),"ZPHS ശ്രീശൈലം")</f>
        <v>ZPHS ശ്രീശൈലം</v>
      </c>
      <c r="K198" s="12" t="s">
        <v>702</v>
      </c>
      <c r="L198" s="10" t="str">
        <f>IFERROR(__xludf.DUMMYFUNCTION("GOOGLETRANSLATE(K198,""en"",""te"")"),"ZPHS శ్రీశైలం ప్రభుత్వ నిర్వహణలో ఉన్న ఉన్నత పాఠశాల. ఇది స్థానిక విద్యార్థులకు మాధ్యమిక విద్యను అందిస్తుంది. పాఠశాల రాష్ట్ర విద్యా మార్గదర్శకాలను అనుసరిస్తుంది. కార్యకలాపాలు పాఠశాల సమయానికి పరిమితం.")</f>
        <v>ZPHS శ్రీశైలం ప్రభుత్వ నిర్వహణలో ఉన్న ఉన్నత పాఠశాల. ఇది స్థానిక విద్యార్థులకు మాధ్యమిక విద్యను అందిస్తుంది. పాఠశాల రాష్ట్ర విద్యా మార్గదర్శకాలను అనుసరిస్తుంది. కార్యకలాపాలు పాఠశాల సమయానికి పరిమితం.</v>
      </c>
      <c r="M198" s="10" t="str">
        <f>IFERROR(__xludf.DUMMYFUNCTION("GOOGLETRANSLATE(K198,""en"",""hi"")"),"जेडपीएचएस श्रीशैलम एक सरकारी हाई स्कूल है। यह स्थानीय छात्रों को माध्यमिक शिक्षा प्रदान करता है। स्कूल राज्य के शिक्षा दिशानिर्देशों का पालन करता है। गतिविधियाँ केवल स्कूल के समय तक ही सीमित हैं।")</f>
        <v>जेडपीएचएस श्रीशैलम एक सरकारी हाई स्कूल है। यह स्थानीय छात्रों को माध्यमिक शिक्षा प्रदान करता है। स्कूल राज्य के शिक्षा दिशानिर्देशों का पालन करता है। गतिविधियाँ केवल स्कूल के समय तक ही सीमित हैं।</v>
      </c>
      <c r="N198" s="10" t="str">
        <f>IFERROR(__xludf.DUMMYFUNCTION("GOOGLETRANSLATE(K198,""en"",""ta"")"),"ZPHS ஸ்ரீசைலம் அரசு நடத்தும் உயர்நிலைப் பள்ளி. இது உள்ளூர் மாணவர்களுக்கு இடைநிலைக் கல்வியை வழங்குகிறது. இந்தப் பள்ளி மாநிலக் கல்வி வழிகாட்டுதல்களைப் பின்பற்றுகிறது. செயல்பாடுகள் பள்ளி நேரத்திற்கு மட்டுமே.")</f>
        <v>ZPHS ஸ்ரீசைலம் அரசு நடத்தும் உயர்நிலைப் பள்ளி. இது உள்ளூர் மாணவர்களுக்கு இடைநிலைக் கல்வியை வழங்குகிறது. இந்தப் பள்ளி மாநிலக் கல்வி வழிகாட்டுதல்களைப் பின்பற்றுகிறது. செயல்பாடுகள் பள்ளி நேரத்திற்கு மட்டுமே.</v>
      </c>
      <c r="O198" s="10" t="str">
        <f>IFERROR(__xludf.DUMMYFUNCTION("GOOGLETRANSLATE(K198,""en"",""kn"")"),"ZPHS ಶ್ರೀಶೈಲಂ ಸರ್ಕಾರಿ ಪ್ರೌಢಶಾಲೆಯಾಗಿದೆ. ಇದು ಸ್ಥಳೀಯ ವಿದ್ಯಾರ್ಥಿಗಳಿಗೆ ಮಾಧ್ಯಮಿಕ ಶಿಕ್ಷಣವನ್ನು ನೀಡುತ್ತದೆ. ಶಾಲೆಯು ರಾಜ್ಯ ಶಿಕ್ಷಣ ಮಾರ್ಗಸೂಚಿಗಳನ್ನು ಅನುಸರಿಸುತ್ತದೆ. ಚಟುವಟಿಕೆಗಳು ಶಾಲಾ ಸಮಯಕ್ಕೆ ಸೀಮಿತವಾಗಿವೆ.")</f>
        <v>ZPHS ಶ್ರೀಶೈಲಂ ಸರ್ಕಾರಿ ಪ್ರೌಢಶಾಲೆಯಾಗಿದೆ. ಇದು ಸ್ಥಳೀಯ ವಿದ್ಯಾರ್ಥಿಗಳಿಗೆ ಮಾಧ್ಯಮಿಕ ಶಿಕ್ಷಣವನ್ನು ನೀಡುತ್ತದೆ. ಶಾಲೆಯು ರಾಜ್ಯ ಶಿಕ್ಷಣ ಮಾರ್ಗಸೂಚಿಗಳನ್ನು ಅನುಸರಿಸುತ್ತದೆ. ಚಟುವಟಿಕೆಗಳು ಶಾಲಾ ಸಮಯಕ್ಕೆ ಸೀಮಿತವಾಗಿವೆ.</v>
      </c>
      <c r="P198" s="10" t="str">
        <f>IFERROR(__xludf.DUMMYFUNCTION("GOOGLETRANSLATE(K198,""en"",""ml"")"),"ZPHS ശ്രീശൈലം സർക്കാർ നടത്തുന്ന ഒരു ഹൈസ്കൂളാണ്. ഇത് പ്രാദേശിക വിദ്യാർത്ഥികൾക്ക് സെക്കൻഡറി വിദ്യാഭ്യാസം നൽകുന്നു. സ്കൂൾ സംസ്ഥാന വിദ്യാഭ്യാസ മാർഗ്ഗനിർദ്ദേശങ്ങൾ പാലിക്കുന്നു. പ്രവർത്തനങ്ങൾ സ്കൂൾ സമയത്തേക്ക് പരിമിതപ്പെടുത്തിയിരിക്കുന്നു.")</f>
        <v>ZPHS ശ്രീശൈലം സർക്കാർ നടത്തുന്ന ഒരു ഹൈസ്കൂളാണ്. ഇത് പ്രാദേശിക വിദ്യാർത്ഥികൾക്ക് സെക്കൻഡറി വിദ്യാഭ്യാസം നൽകുന്നു. സ്കൂൾ സംസ്ഥാന വിദ്യാഭ്യാസ മാർഗ്ഗനിർദ്ദേശങ്ങൾ പാലിക്കുന്നു. പ്രവർത്തനങ്ങൾ സ്കൂൾ സമയത്തേക്ക് പരിമിതപ്പെടുത്തിയിരിക്കുന്നു.</v>
      </c>
    </row>
    <row r="199">
      <c r="A199" s="6">
        <f t="shared" si="1"/>
        <v>198</v>
      </c>
      <c r="B199" s="6" t="s">
        <v>703</v>
      </c>
      <c r="C199" s="6">
        <v>16.0785052</v>
      </c>
      <c r="D199" s="6">
        <v>78.8681473</v>
      </c>
      <c r="E199" s="5" t="s">
        <v>668</v>
      </c>
      <c r="F199" s="11" t="str">
        <f>IFERROR(__xludf.DUMMYFUNCTION("GOOGLETRANSLATE(B199,""en"",""te"")"),"వీరశైవ గురుకులం")</f>
        <v>వీరశైవ గురుకులం</v>
      </c>
      <c r="G199" s="10" t="str">
        <f>IFERROR(__xludf.DUMMYFUNCTION("GOOGLETRANSLATE(B199,""en"",""hi"")"),"वीरशैव गुरुकुलम")</f>
        <v>वीरशैव गुरुकुलम</v>
      </c>
      <c r="H199" s="10" t="str">
        <f>IFERROR(__xludf.DUMMYFUNCTION("GOOGLETRANSLATE(B199,""en"",""ta"")"),"வீரசைவ குருகுலம்")</f>
        <v>வீரசைவ குருகுலம்</v>
      </c>
      <c r="I199" s="10" t="str">
        <f>IFERROR(__xludf.DUMMYFUNCTION("GOOGLETRANSLATE(B199,""en"",""kn"")"),"ವೀರಶೈವ ಗುರುಕುಲಂ")</f>
        <v>ವೀರಶೈವ ಗುರುಕುಲಂ</v>
      </c>
      <c r="J199" s="10" t="str">
        <f>IFERROR(__xludf.DUMMYFUNCTION("GOOGLETRANSLATE(B199,""en"",""ml"")"),"വീരശൈവ ഗുരുകുലം")</f>
        <v>വീരശൈവ ഗുരുകുലം</v>
      </c>
      <c r="K199" s="12" t="s">
        <v>704</v>
      </c>
      <c r="L199" s="10" t="str">
        <f>IFERROR(__xludf.DUMMYFUNCTION("GOOGLETRANSLATE(K199,""en"",""te"")"),"వీరశైవ గురుకులం ఒక సాంప్రదాయ అభ్యాస కేంద్రం. ఇది మతపరమైన మరియు సాంస్కృతిక విద్యపై దృష్టి పెడుతుంది. విద్యార్థులు మార్గదర్శకత్వంలో ఉండి చదువుకుంటారు. నమోదు చేసుకున్న అభ్యాసకులకు మాత్రమే ప్రవేశం పరిమితం.")</f>
        <v>వీరశైవ గురుకులం ఒక సాంప్రదాయ అభ్యాస కేంద్రం. ఇది మతపరమైన మరియు సాంస్కృతిక విద్యపై దృష్టి పెడుతుంది. విద్యార్థులు మార్గదర్శకత్వంలో ఉండి చదువుకుంటారు. నమోదు చేసుకున్న అభ్యాసకులకు మాత్రమే ప్రవేశం పరిమితం.</v>
      </c>
      <c r="M199" s="10" t="str">
        <f>IFERROR(__xludf.DUMMYFUNCTION("GOOGLETRANSLATE(K199,""en"",""hi"")"),"वीरशैव गुरुकुलम एक पारंपरिक शिक्षण केंद्र है। यह धार्मिक और सांस्कृतिक शिक्षा पर केंद्रित है। छात्र यहाँ रहकर मार्गदर्शन में अध्ययन करते हैं। प्रवेश केवल पंजीकृत छात्रों तक ही सीमित है।")</f>
        <v>वीरशैव गुरुकुलम एक पारंपरिक शिक्षण केंद्र है। यह धार्मिक और सांस्कृतिक शिक्षा पर केंद्रित है। छात्र यहाँ रहकर मार्गदर्शन में अध्ययन करते हैं। प्रवेश केवल पंजीकृत छात्रों तक ही सीमित है।</v>
      </c>
      <c r="N199" s="10" t="str">
        <f>IFERROR(__xludf.DUMMYFUNCTION("GOOGLETRANSLATE(K199,""en"",""ta"")"),"வீரசைவ குருகுலம் ஒரு பாரம்பரிய கற்றல் மையமாகும். இது மத மற்றும் கலாச்சார கல்வியில் கவனம் செலுத்துகிறது. மாணவர்கள் வழிகாட்டுதலின் கீழ் தங்கி படிக்கின்றனர். பதிவுசெய்யப்பட்ட கற்பவர்களுக்கு மட்டுமே அணுகல் தடைசெய்யப்பட்டுள்ளது.")</f>
        <v>வீரசைவ குருகுலம் ஒரு பாரம்பரிய கற்றல் மையமாகும். இது மத மற்றும் கலாச்சார கல்வியில் கவனம் செலுத்துகிறது. மாணவர்கள் வழிகாட்டுதலின் கீழ் தங்கி படிக்கின்றனர். பதிவுசெய்யப்பட்ட கற்பவர்களுக்கு மட்டுமே அணுகல் தடைசெய்யப்பட்டுள்ளது.</v>
      </c>
      <c r="O199" s="10" t="str">
        <f>IFERROR(__xludf.DUMMYFUNCTION("GOOGLETRANSLATE(K199,""en"",""kn"")"),"ವೀರಶೈವ ಗುರುಕುಲವು ಒಂದು ಸಾಂಪ್ರದಾಯಿಕ ಕಲಿಕಾ ಕೇಂದ್ರವಾಗಿದೆ. ಇದು ಧಾರ್ಮಿಕ ಮತ್ತು ಸಾಂಸ್ಕೃತಿಕ ಶಿಕ್ಷಣದ ಮೇಲೆ ಕೇಂದ್ರೀಕರಿಸುತ್ತದೆ. ವಿದ್ಯಾರ್ಥಿಗಳು ಮಾರ್ಗದರ್ಶನದಲ್ಲಿ ಉಳಿದು ಅಧ್ಯಯನ ಮಾಡುತ್ತಾರೆ. ಪ್ರವೇಶವು ದಾಖಲಾದ ವಿದ್ಯಾರ್ಥಿಗಳಿಗೆ ಮಾತ್ರ ಸೀಮಿತವಾಗಿದೆ.")</f>
        <v>ವೀರಶೈವ ಗುರುಕುಲವು ಒಂದು ಸಾಂಪ್ರದಾಯಿಕ ಕಲಿಕಾ ಕೇಂದ್ರವಾಗಿದೆ. ಇದು ಧಾರ್ಮಿಕ ಮತ್ತು ಸಾಂಸ್ಕೃತಿಕ ಶಿಕ್ಷಣದ ಮೇಲೆ ಕೇಂದ್ರೀಕರಿಸುತ್ತದೆ. ವಿದ್ಯಾರ್ಥಿಗಳು ಮಾರ್ಗದರ್ಶನದಲ್ಲಿ ಉಳಿದು ಅಧ್ಯಯನ ಮಾಡುತ್ತಾರೆ. ಪ್ರವೇಶವು ದಾಖಲಾದ ವಿದ್ಯಾರ್ಥಿಗಳಿಗೆ ಮಾತ್ರ ಸೀಮಿತವಾಗಿದೆ.</v>
      </c>
      <c r="P199" s="10" t="str">
        <f>IFERROR(__xludf.DUMMYFUNCTION("GOOGLETRANSLATE(K199,""en"",""ml"")"),"വീരശൈവ ഗുരുകുലം ഒരു പരമ്പരാഗത പഠന കേന്ദ്രമാണ്. മതപരവും സാംസ്കാരികവുമായ വിദ്യാഭ്യാസത്തിലാണ് ഇത് ശ്രദ്ധ കേന്ദ്രീകരിക്കുന്നത്. വിദ്യാർത്ഥികൾ മാർഗനിർദേശപ്രകാരം താമസിച്ച് പഠിക്കുന്നു. പ്രവേശനം എൻറോൾ ചെയ്ത വിദ്യാർത്ഥികൾക്ക് മാത്രമായി പരിമിതപ്പെടുത്തിയിരിക്കുന്ന"&amp;"ു.")</f>
        <v>വീരശൈവ ഗുരുകുലം ഒരു പരമ്പരാഗത പഠന കേന്ദ്രമാണ്. മതപരവും സാംസ്കാരികവുമായ വിദ്യാഭ്യാസത്തിലാണ് ഇത് ശ്രദ്ധ കേന്ദ്രീകരിക്കുന്നത്. വിദ്യാർത്ഥികൾ മാർഗനിർദേശപ്രകാരം താമസിച്ച് പഠിക്കുന്നു. പ്രവേശനം എൻറോൾ ചെയ്ത വിദ്യാർത്ഥികൾക്ക് മാത്രമായി പരിമിതപ്പെടുത്തിയിരിക്കുന്നു.</v>
      </c>
    </row>
    <row r="200">
      <c r="A200" s="6">
        <f t="shared" si="1"/>
        <v>199</v>
      </c>
      <c r="B200" s="6" t="s">
        <v>705</v>
      </c>
      <c r="C200" s="6">
        <v>16.077539</v>
      </c>
      <c r="D200" s="6">
        <v>78.8685661</v>
      </c>
      <c r="E200" s="5" t="s">
        <v>668</v>
      </c>
      <c r="F200" s="11" t="str">
        <f>IFERROR(__xludf.DUMMYFUNCTION("GOOGLETRANSLATE(B200,""en"",""te"")"),"శ్రీ దేవి వేదవిద్యాలయం – శ్రీవిద్యా సేవాసమితి – శ్రీశైలం")</f>
        <v>శ్రీ దేవి వేదవిద్యాలయం – శ్రీవిద్యా సేవాసమితి – శ్రీశైలం</v>
      </c>
      <c r="G200" s="10" t="str">
        <f>IFERROR(__xludf.DUMMYFUNCTION("GOOGLETRANSLATE(B200,""en"",""hi"")"),"श्री देवी वेदविद्यालयम - श्रीविद्या सेवासमिति - श्रीशैलम")</f>
        <v>श्री देवी वेदविद्यालयम - श्रीविद्या सेवासमिति - श्रीशैलम</v>
      </c>
      <c r="H200" s="10" t="str">
        <f>IFERROR(__xludf.DUMMYFUNCTION("GOOGLETRANSLATE(B200,""en"",""ta"")"),"ஸ்ரீ தேவி வேதவித்யாலயம் – ஸ்ரீவித்யா சேவாசமிதி – ஸ்ரீசைலம்")</f>
        <v>ஸ்ரீ தேவி வேதவித்யாலயம் – ஸ்ரீவித்யா சேவாசமிதி – ஸ்ரீசைலம்</v>
      </c>
      <c r="I200" s="10" t="str">
        <f>IFERROR(__xludf.DUMMYFUNCTION("GOOGLETRANSLATE(B200,""en"",""kn"")"),"ಶ್ರೀ ದೇವಿ ವೇದವಿದ್ಯಾಲಯ - ಶ್ರೀವಿದ್ಯಾ ಸೇವಾಸಮಿತಿ - ಶ್ರೀಶೈಲಂ")</f>
        <v>ಶ್ರೀ ದೇವಿ ವೇದವಿದ್ಯಾಲಯ - ಶ್ರೀವಿದ್ಯಾ ಸೇವಾಸಮಿತಿ - ಶ್ರೀಶೈಲಂ</v>
      </c>
      <c r="J200" s="10" t="str">
        <f>IFERROR(__xludf.DUMMYFUNCTION("GOOGLETRANSLATE(B200,""en"",""ml"")"),"ശ്രീ ദേവി വേദവിദ്യാലയം - ശ്രീവിദ്യാ സേവാസമിതി - ശ്രീശൈലം")</f>
        <v>ശ്രീ ദേവി വേദവിദ്യാലയം - ശ്രീവിദ്യാ സേവാസമിതി - ശ്രീശൈലം</v>
      </c>
      <c r="K200" s="12" t="s">
        <v>706</v>
      </c>
      <c r="L200" s="10" t="str">
        <f>IFERROR(__xludf.DUMMYFUNCTION("GOOGLETRANSLATE(K200,""en"",""te"")"),"ఈ సంస్థ వేద మరియు సాంప్రదాయ అధ్యయనాలలో విద్యను అందిస్తుంది. బోధన నిర్మాణాత్మక అభ్యాస పద్ధతులను అనుసరిస్తుంది. ఈ సౌకర్యం సాంస్కృతిక విద్యకు మద్దతు ఇస్తుంది. ప్రవేశం విద్యార్థులు మరియు సిబ్బందికి మాత్రమే పరిమితం.")</f>
        <v>ఈ సంస్థ వేద మరియు సాంప్రదాయ అధ్యయనాలలో విద్యను అందిస్తుంది. బోధన నిర్మాణాత్మక అభ్యాస పద్ధతులను అనుసరిస్తుంది. ఈ సౌకర్యం సాంస్కృతిక విద్యకు మద్దతు ఇస్తుంది. ప్రవేశం విద్యార్థులు మరియు సిబ్బందికి మాత్రమే పరిమితం.</v>
      </c>
      <c r="M200" s="10" t="str">
        <f>IFERROR(__xludf.DUMMYFUNCTION("GOOGLETRANSLATE(K200,""en"",""hi"")"),"यह संस्थान वैदिक और पारंपरिक अध्ययन में शिक्षा प्रदान करता है। शिक्षण में संरचित शिक्षण विधियों का पालन किया जाता है। यह संस्थान सांस्कृतिक शिक्षा को बढ़ावा देता है। प्रवेश केवल छात्रों और कर्मचारियों के लिए सीमित है।")</f>
        <v>यह संस्थान वैदिक और पारंपरिक अध्ययन में शिक्षा प्रदान करता है। शिक्षण में संरचित शिक्षण विधियों का पालन किया जाता है। यह संस्थान सांस्कृतिक शिक्षा को बढ़ावा देता है। प्रवेश केवल छात्रों और कर्मचारियों के लिए सीमित है।</v>
      </c>
      <c r="N200" s="10" t="str">
        <f>IFERROR(__xludf.DUMMYFUNCTION("GOOGLETRANSLATE(K200,""en"",""ta"")"),"இந்த நிறுவனம் வேத மற்றும் பாரம்பரிய படிப்புகளில் கல்வியை வழங்குகிறது. கற்பித்தல் கட்டமைக்கப்பட்ட கற்றல் முறைகளைப் பின்பற்றுகிறது. இந்த வசதி கலாச்சார கல்வியை ஆதரிக்கிறது. சேர்க்கை மாணவர்கள் மற்றும் ஊழியர்களுக்கு மட்டுமே.")</f>
        <v>இந்த நிறுவனம் வேத மற்றும் பாரம்பரிய படிப்புகளில் கல்வியை வழங்குகிறது. கற்பித்தல் கட்டமைக்கப்பட்ட கற்றல் முறைகளைப் பின்பற்றுகிறது. இந்த வசதி கலாச்சார கல்வியை ஆதரிக்கிறது. சேர்க்கை மாணவர்கள் மற்றும் ஊழியர்களுக்கு மட்டுமே.</v>
      </c>
      <c r="O200" s="10" t="str">
        <f>IFERROR(__xludf.DUMMYFUNCTION("GOOGLETRANSLATE(K200,""en"",""kn"")"),"ಈ ಸಂಸ್ಥೆಯು ವೈದಿಕ ಮತ್ತು ಸಾಂಪ್ರದಾಯಿಕ ಅಧ್ಯಯನಗಳಲ್ಲಿ ಶಿಕ್ಷಣವನ್ನು ನೀಡುತ್ತದೆ. ಬೋಧನೆಯು ರಚನಾತ್ಮಕ ಕಲಿಕಾ ವಿಧಾನಗಳನ್ನು ಅನುಸರಿಸುತ್ತದೆ. ಈ ಸೌಲಭ್ಯವು ಸಾಂಸ್ಕೃತಿಕ ಶಿಕ್ಷಣವನ್ನು ಬೆಂಬಲಿಸುತ್ತದೆ. ಪ್ರವೇಶವು ವಿದ್ಯಾರ್ಥಿಗಳು ಮತ್ತು ಸಿಬ್ಬಂದಿಗೆ ಸೀಮಿತವಾಗಿದೆ.")</f>
        <v>ಈ ಸಂಸ್ಥೆಯು ವೈದಿಕ ಮತ್ತು ಸಾಂಪ್ರದಾಯಿಕ ಅಧ್ಯಯನಗಳಲ್ಲಿ ಶಿಕ್ಷಣವನ್ನು ನೀಡುತ್ತದೆ. ಬೋಧನೆಯು ರಚನಾತ್ಮಕ ಕಲಿಕಾ ವಿಧಾನಗಳನ್ನು ಅನುಸರಿಸುತ್ತದೆ. ಈ ಸೌಲಭ್ಯವು ಸಾಂಸ್ಕೃತಿಕ ಶಿಕ್ಷಣವನ್ನು ಬೆಂಬಲಿಸುತ್ತದೆ. ಪ್ರವೇಶವು ವಿದ್ಯಾರ್ಥಿಗಳು ಮತ್ತು ಸಿಬ್ಬಂದಿಗೆ ಸೀಮಿತವಾಗಿದೆ.</v>
      </c>
      <c r="P200" s="10" t="str">
        <f>IFERROR(__xludf.DUMMYFUNCTION("GOOGLETRANSLATE(K200,""en"",""ml"")"),"വേദ, പരമ്പരാഗത പഠനങ്ങളിലാണ് ഈ സ്ഥാപനം വിദ്യാഭ്യാസം നൽകുന്നത്. ഘടനാപരമായ പഠന രീതികൾ പിന്തുടരുന്നതാണ് അധ്യാപനം. സാംസ്കാരിക വിദ്യാഭ്യാസത്തെ പിന്തുണയ്ക്കുന്ന സൗകര്യമാണിത്. പ്രവേശനം വിദ്യാർത്ഥികൾക്കും ജീവനക്കാർക്കും മാത്രമായി പരിമിതപ്പെടുത്തിയിരിക്കുന്നു.")</f>
        <v>വേദ, പരമ്പരാഗത പഠനങ്ങളിലാണ് ഈ സ്ഥാപനം വിദ്യാഭ്യാസം നൽകുന്നത്. ഘടനാപരമായ പഠന രീതികൾ പിന്തുടരുന്നതാണ് അധ്യാപനം. സാംസ്കാരിക വിദ്യാഭ്യാസത്തെ പിന്തുണയ്ക്കുന്ന സൗകര്യമാണിത്. പ്രവേശനം വിദ്യാർത്ഥികൾക്കും ജീവനക്കാർക്കും മാത്രമായി പരിമിതപ്പെടുത്തിയിരിക്കുന്നു.</v>
      </c>
    </row>
    <row r="201">
      <c r="A201" s="6">
        <f t="shared" si="1"/>
        <v>200</v>
      </c>
      <c r="B201" s="6" t="s">
        <v>707</v>
      </c>
      <c r="C201" s="6">
        <v>16.0740248</v>
      </c>
      <c r="D201" s="6">
        <v>78.8693023</v>
      </c>
      <c r="E201" s="5" t="s">
        <v>668</v>
      </c>
      <c r="F201" s="11" t="str">
        <f>IFERROR(__xludf.DUMMYFUNCTION("GOOGLETRANSLATE(B201,""en"",""te"")"),"శ్రీ శంకర వేద స్మార్త పాటశాల")</f>
        <v>శ్రీ శంకర వేద స్మార్త పాటశాల</v>
      </c>
      <c r="G201" s="10" t="str">
        <f>IFERROR(__xludf.DUMMYFUNCTION("GOOGLETRANSLATE(B201,""en"",""hi"")"),"श्री शंकर वेद समर्थ पाठशाला")</f>
        <v>श्री शंकर वेद समर्थ पाठशाला</v>
      </c>
      <c r="H201" s="10" t="str">
        <f>IFERROR(__xludf.DUMMYFUNCTION("GOOGLETRANSLATE(B201,""en"",""ta"")"),"ஸ்ரீ சங்கர வேத ஸ்மார்த்த பாடஷாலா")</f>
        <v>ஸ்ரீ சங்கர வேத ஸ்மார்த்த பாடஷாலா</v>
      </c>
      <c r="I201" s="10" t="str">
        <f>IFERROR(__xludf.DUMMYFUNCTION("GOOGLETRANSLATE(B201,""en"",""kn"")"),"ಶ್ರೀ ಶಂಕರ ವೇದ ಸ್ಮಾರ್ತ ಪಾಠಶಾಲಾ")</f>
        <v>ಶ್ರೀ ಶಂಕರ ವೇದ ಸ್ಮಾರ್ತ ಪಾಠಶಾಲಾ</v>
      </c>
      <c r="J201" s="10" t="str">
        <f>IFERROR(__xludf.DUMMYFUNCTION("GOOGLETRANSLATE(B201,""en"",""ml"")"),"ശ്രീ ശങ്കര വേദ സ്മാർത്ത പാടശാല")</f>
        <v>ശ്രീ ശങ്കര വേദ സ്മാർത്ത പാടശാല</v>
      </c>
      <c r="K201" s="12" t="s">
        <v>708</v>
      </c>
      <c r="L201" s="10" t="str">
        <f>IFERROR(__xludf.DUMMYFUNCTION("GOOGLETRANSLATE(K201,""en"",""te"")"),"శ్రీ శంకర వేద స్మార్త పాఠశాల వేద అభ్యాసానికి ఒక కేంద్రం. ఇది విద్యార్థులకు సాంప్రదాయ గ్రంథాలలో శిక్షణ ఇస్తుంది. తరగతులు క్రమం తప్పకుండా నిర్వహించబడతాయి. ఈ ప్రాంగణాన్ని ప్రధానంగా విద్యా ప్రయోజనాల కోసం ఉపయోగిస్తారు.")</f>
        <v>శ్రీ శంకర వేద స్మార్త పాఠశాల వేద అభ్యాసానికి ఒక కేంద్రం. ఇది విద్యార్థులకు సాంప్రదాయ గ్రంథాలలో శిక్షణ ఇస్తుంది. తరగతులు క్రమం తప్పకుండా నిర్వహించబడతాయి. ఈ ప్రాంగణాన్ని ప్రధానంగా విద్యా ప్రయోజనాల కోసం ఉపయోగిస్తారు.</v>
      </c>
      <c r="M201" s="10" t="str">
        <f>IFERROR(__xludf.DUMMYFUNCTION("GOOGLETRANSLATE(K201,""en"",""hi"")"),"श्री शंकरा वेद स्मार्थ पाठशाला वैदिक शिक्षा का एक केंद्र है। यह छात्रों को पारंपरिक शास्त्रों का प्रशिक्षण देता है। कक्षाएं नियमित रूप से संचालित होती हैं। परिसर का उपयोग मुख्य रूप से शैक्षिक उद्देश्यों के लिए किया जाता है।")</f>
        <v>श्री शंकरा वेद स्मार्थ पाठशाला वैदिक शिक्षा का एक केंद्र है। यह छात्रों को पारंपरिक शास्त्रों का प्रशिक्षण देता है। कक्षाएं नियमित रूप से संचालित होती हैं। परिसर का उपयोग मुख्य रूप से शैक्षिक उद्देश्यों के लिए किया जाता है।</v>
      </c>
      <c r="N201" s="10" t="str">
        <f>IFERROR(__xludf.DUMMYFUNCTION("GOOGLETRANSLATE(K201,""en"",""ta"")"),"ஸ்ரீ சங்கர வேத ஸ்மார்த்த பாடசாலை வேத கற்றலுக்கான ஒரு மையமாகும். இது பாரம்பரிய வேதங்களில் மாணவர்களுக்கு பயிற்சி அளிக்கிறது. வகுப்புகள் தொடர்ந்து நடத்தப்படுகின்றன. இந்த வளாகம் முக்கியமாக கல்வி நோக்கங்களுக்காகப் பயன்படுத்தப்படுகிறது.")</f>
        <v>ஸ்ரீ சங்கர வேத ஸ்மார்த்த பாடசாலை வேத கற்றலுக்கான ஒரு மையமாகும். இது பாரம்பரிய வேதங்களில் மாணவர்களுக்கு பயிற்சி அளிக்கிறது. வகுப்புகள் தொடர்ந்து நடத்தப்படுகின்றன. இந்த வளாகம் முக்கியமாக கல்வி நோக்கங்களுக்காகப் பயன்படுத்தப்படுகிறது.</v>
      </c>
      <c r="O201" s="10" t="str">
        <f>IFERROR(__xludf.DUMMYFUNCTION("GOOGLETRANSLATE(K201,""en"",""kn"")"),"ಶ್ರೀ ಶಂಕರ ವೇದ ಸ್ಮಾರ್ಥ ಪಾಠಶಾಲೆಯು ವೇದ ಕಲಿಕೆಗೆ ಒಂದು ಕೇಂದ್ರವಾಗಿದೆ. ಇದು ವಿದ್ಯಾರ್ಥಿಗಳಿಗೆ ಸಾಂಪ್ರದಾಯಿಕ ಗ್ರಂಥಗಳಲ್ಲಿ ತರಬೇತಿ ನೀಡುತ್ತದೆ. ತರಗತಿಗಳನ್ನು ನಿಯಮಿತವಾಗಿ ನಡೆಸಲಾಗುತ್ತದೆ. ಆವರಣವನ್ನು ಮುಖ್ಯವಾಗಿ ಶೈಕ್ಷಣಿಕ ಉದ್ದೇಶಗಳಿಗಾಗಿ ಬಳಸಲಾಗುತ್ತದೆ.")</f>
        <v>ಶ್ರೀ ಶಂಕರ ವೇದ ಸ್ಮಾರ್ಥ ಪಾಠಶಾಲೆಯು ವೇದ ಕಲಿಕೆಗೆ ಒಂದು ಕೇಂದ್ರವಾಗಿದೆ. ಇದು ವಿದ್ಯಾರ್ಥಿಗಳಿಗೆ ಸಾಂಪ್ರದಾಯಿಕ ಗ್ರಂಥಗಳಲ್ಲಿ ತರಬೇತಿ ನೀಡುತ್ತದೆ. ತರಗತಿಗಳನ್ನು ನಿಯಮಿತವಾಗಿ ನಡೆಸಲಾಗುತ್ತದೆ. ಆವರಣವನ್ನು ಮುಖ್ಯವಾಗಿ ಶೈಕ್ಷಣಿಕ ಉದ್ದೇಶಗಳಿಗಾಗಿ ಬಳಸಲಾಗುತ್ತದೆ.</v>
      </c>
      <c r="P201" s="10" t="str">
        <f>IFERROR(__xludf.DUMMYFUNCTION("GOOGLETRANSLATE(K201,""en"",""ml"")"),"ശ്രീ ശങ്കര വേദ സ്മാർത്ത പാഠശാല വേദ പഠനത്തിനുള്ള ഒരു കേന്ദ്രമാണ്. പരമ്പരാഗത ഗ്രന്ഥങ്ങളിൽ വിദ്യാർത്ഥികൾക്ക് പരിശീലനം നൽകുന്നു. ക്ലാസുകൾ പതിവായി നടക്കുന്നു. വിദ്യാഭ്യാസ ആവശ്യങ്ങൾക്കാണ് പ്രധാനമായും ഈ പരിസരം ഉപയോഗിക്കുന്നത്.")</f>
        <v>ശ്രീ ശങ്കര വേദ സ്മാർത്ത പാഠശാല വേദ പഠനത്തിനുള്ള ഒരു കേന്ദ്രമാണ്. പരമ്പരാഗത ഗ്രന്ഥങ്ങളിൽ വിദ്യാർത്ഥികൾക്ക് പരിശീലനം നൽകുന്നു. ക്ലാസുകൾ പതിവായി നടക്കുന്നു. വിദ്യാഭ്യാസ ആവശ്യങ്ങൾക്കാണ് പ്രധാനമായും ഈ പരിസരം ഉപയോഗിക്കുന്നത്.</v>
      </c>
    </row>
    <row r="202">
      <c r="A202" s="6">
        <f t="shared" si="1"/>
        <v>201</v>
      </c>
      <c r="B202" s="6" t="s">
        <v>709</v>
      </c>
      <c r="C202" s="6">
        <v>16.0726279</v>
      </c>
      <c r="D202" s="6">
        <v>78.8723774</v>
      </c>
      <c r="E202" s="5" t="s">
        <v>668</v>
      </c>
      <c r="F202" s="8" t="s">
        <v>710</v>
      </c>
      <c r="G202" s="8" t="s">
        <v>711</v>
      </c>
      <c r="H202" s="10" t="str">
        <f>IFERROR(__xludf.DUMMYFUNCTION("GOOGLETRANSLATE(B202,""en"",""ta"")"),"நூலகம்")</f>
        <v>நூலகம்</v>
      </c>
      <c r="I202" s="10" t="str">
        <f>IFERROR(__xludf.DUMMYFUNCTION("GOOGLETRANSLATE(B202,""en"",""kn"")"),"ಗ್ರಂಥಾಲಯ")</f>
        <v>ಗ್ರಂಥಾಲಯ</v>
      </c>
      <c r="J202" s="10" t="str">
        <f>IFERROR(__xludf.DUMMYFUNCTION("GOOGLETRANSLATE(B202,""en"",""ml"")"),"ലൈബ്രറി")</f>
        <v>ലൈബ്രറി</v>
      </c>
      <c r="K202" s="12" t="s">
        <v>712</v>
      </c>
      <c r="L202" s="10" t="str">
        <f>IFERROR(__xludf.DUMMYFUNCTION("GOOGLETRANSLATE(K202,""en"",""te"")"),"లైబ్రరీ పఠనం మరియు సూచన సౌకర్యాలను అందిస్తుంది. దీనిలో పుస్తకాలు మరియు అధ్యయన సామగ్రి ఉన్నాయి. నిశ్శబ్దంగా చదవడానికి సీటింగ్ అందుబాటులో ఉంది. ప్రవేశం లైబ్రరీ నియమాలకు లోబడి ఉంటుంది.")</f>
        <v>లైబ్రరీ పఠనం మరియు సూచన సౌకర్యాలను అందిస్తుంది. దీనిలో పుస్తకాలు మరియు అధ్యయన సామగ్రి ఉన్నాయి. నిశ్శబ్దంగా చదవడానికి సీటింగ్ అందుబాటులో ఉంది. ప్రవేశం లైబ్రరీ నియమాలకు లోబడి ఉంటుంది.</v>
      </c>
      <c r="M202" s="10" t="str">
        <f>IFERROR(__xludf.DUMMYFUNCTION("GOOGLETRANSLATE(K202,""en"",""hi"")"),"पुस्तकालय में पढ़ने और संदर्भ के लिए सुविधाएं उपलब्ध हैं। इसमें पुस्तकें और अध्ययन सामग्री मौजूद हैं। शांतिपूर्वक पढ़ने के लिए बैठने की व्यवस्था है। पुस्तकालय में प्रवेश पुस्तकालय के नियमों के अधीन है।")</f>
        <v>पुस्तकालय में पढ़ने और संदर्भ के लिए सुविधाएं उपलब्ध हैं। इसमें पुस्तकें और अध्ययन सामग्री मौजूद हैं। शांतिपूर्वक पढ़ने के लिए बैठने की व्यवस्था है। पुस्तकालय में प्रवेश पुस्तकालय के नियमों के अधीन है।</v>
      </c>
      <c r="N202" s="10" t="str">
        <f>IFERROR(__xludf.DUMMYFUNCTION("GOOGLETRANSLATE(K202,""en"",""ta"")"),"நூலகம் வாசிப்பு மற்றும் குறிப்பு வசதிகளை வழங்குகிறது. இதில் புத்தகங்கள் மற்றும் படிப்புப் பொருட்கள் உள்ளன. அமைதியாகப் படிக்க இருக்கைகள் உள்ளன. நுழைவு நூலக விதிகளுக்கு உட்பட்டது.")</f>
        <v>நூலகம் வாசிப்பு மற்றும் குறிப்பு வசதிகளை வழங்குகிறது. இதில் புத்தகங்கள் மற்றும் படிப்புப் பொருட்கள் உள்ளன. அமைதியாகப் படிக்க இருக்கைகள் உள்ளன. நுழைவு நூலக விதிகளுக்கு உட்பட்டது.</v>
      </c>
      <c r="O202" s="10" t="str">
        <f>IFERROR(__xludf.DUMMYFUNCTION("GOOGLETRANSLATE(K202,""en"",""kn"")"),"ಗ್ರಂಥಾಲಯವು ಓದುವಿಕೆ ಮತ್ತು ಉಲ್ಲೇಖ ಸೌಲಭ್ಯಗಳನ್ನು ಒದಗಿಸುತ್ತದೆ. ಇದು ಪುಸ್ತಕಗಳು ಮತ್ತು ಅಧ್ಯಯನ ಸಾಮಗ್ರಿಗಳನ್ನು ಒಳಗೊಂಡಿದೆ. ಶಾಂತವಾಗಿ ಓದಲು ಆಸನ ಲಭ್ಯವಿದೆ. ಪ್ರವೇಶವು ಗ್ರಂಥಾಲಯ ನಿಯಮಗಳಿಗೆ ಒಳಪಟ್ಟಿರುತ್ತದೆ.")</f>
        <v>ಗ್ರಂಥಾಲಯವು ಓದುವಿಕೆ ಮತ್ತು ಉಲ್ಲೇಖ ಸೌಲಭ್ಯಗಳನ್ನು ಒದಗಿಸುತ್ತದೆ. ಇದು ಪುಸ್ತಕಗಳು ಮತ್ತು ಅಧ್ಯಯನ ಸಾಮಗ್ರಿಗಳನ್ನು ಒಳಗೊಂಡಿದೆ. ಶಾಂತವಾಗಿ ಓದಲು ಆಸನ ಲಭ್ಯವಿದೆ. ಪ್ರವೇಶವು ಗ್ರಂಥಾಲಯ ನಿಯಮಗಳಿಗೆ ಒಳಪಟ್ಟಿರುತ್ತದೆ.</v>
      </c>
      <c r="P202" s="10" t="str">
        <f>IFERROR(__xludf.DUMMYFUNCTION("GOOGLETRANSLATE(K202,""en"",""ml"")"),"വായനയ്ക്കും റഫറൻസിനും ആവശ്യമായ സൗകര്യങ്ങൾ ലൈബ്രറിയിൽ ഒരുക്കിയിട്ടുണ്ട്. പുസ്തകങ്ങളും പഠനസാമഗ്രികളും ഇതിൽ ഉൾപ്പെടുത്തിയിട്ടുണ്ട്. നിശബ്ദ വായനയ്ക്ക് ഇരിപ്പിട സൗകര്യം ലഭ്യമാണ്. പ്രവേശനം ലൈബ്രറി നിയമങ്ങൾക്ക് വിധേയമാണ്.")</f>
        <v>വായനയ്ക്കും റഫറൻസിനും ആവശ്യമായ സൗകര്യങ്ങൾ ലൈബ്രറിയിൽ ഒരുക്കിയിട്ടുണ്ട്. പുസ്തകങ്ങളും പഠനസാമഗ്രികളും ഇതിൽ ഉൾപ്പെടുത്തിയിട്ടുണ്ട്. നിശബ്ദ വായനയ്ക്ക് ഇരിപ്പിട സൗകര്യം ലഭ്യമാണ്. പ്രവേശനം ലൈബ്രറി നിയമങ്ങൾക്ക് വിധേയമാണ്.</v>
      </c>
    </row>
    <row r="203">
      <c r="A203" s="6">
        <f t="shared" si="1"/>
        <v>202</v>
      </c>
      <c r="B203" s="6" t="s">
        <v>713</v>
      </c>
      <c r="C203" s="6">
        <v>16.0689771</v>
      </c>
      <c r="D203" s="6">
        <v>78.8677872</v>
      </c>
      <c r="E203" s="5" t="s">
        <v>668</v>
      </c>
      <c r="F203" s="8" t="s">
        <v>714</v>
      </c>
      <c r="G203" s="8" t="s">
        <v>715</v>
      </c>
      <c r="H203" s="10" t="str">
        <f>IFERROR(__xludf.DUMMYFUNCTION("GOOGLETRANSLATE(B203,""en"",""ta"")"),"பார்க்கிங்")</f>
        <v>பார்க்கிங்</v>
      </c>
      <c r="I203" s="10" t="str">
        <f>IFERROR(__xludf.DUMMYFUNCTION("GOOGLETRANSLATE(B203,""en"",""kn"")"),"ಪಾರ್ಕಿಂಗ್")</f>
        <v>ಪಾರ್ಕಿಂಗ್</v>
      </c>
      <c r="J203" s="10" t="str">
        <f>IFERROR(__xludf.DUMMYFUNCTION("GOOGLETRANSLATE(B203,""en"",""ml"")"),"പാർക്കിംഗ്")</f>
        <v>പാർക്കിംഗ്</v>
      </c>
      <c r="K203" s="12" t="s">
        <v>716</v>
      </c>
      <c r="L203" s="10" t="str">
        <f>IFERROR(__xludf.DUMMYFUNCTION("GOOGLETRANSLATE(K203,""en"",""te"")"),"ఈ పార్కింగ్ ప్రాంతం సందర్శకుల వాహనాల కోసం అందించబడింది. ఇది రద్దీగా ఉండే ప్రదేశాల దగ్గర ట్రాఫిక్‌ను నిర్వహించడానికి సహాయపడుతుంది. పరిమిత సమయాలు మాత్రమే పార్కింగ్‌కు అనుమతి ఉంది.")</f>
        <v>ఈ పార్కింగ్ ప్రాంతం సందర్శకుల వాహనాల కోసం అందించబడింది. ఇది రద్దీగా ఉండే ప్రదేశాల దగ్గర ట్రాఫిక్‌ను నిర్వహించడానికి సహాయపడుతుంది. పరిమిత సమయాలు మాత్రమే పార్కింగ్‌కు అనుమతి ఉంది.</v>
      </c>
      <c r="M203" s="10" t="str">
        <f>IFERROR(__xludf.DUMMYFUNCTION("GOOGLETRANSLATE(K203,""en"",""hi"")"),"यह पार्किंग क्षेत्र आगंतुकों के वाहनों के लिए बनाया गया है। इससे व्यस्त स्थानों के पास यातायात प्रबंधन में मदद मिलती है। यहां सीमित समय के लिए ही पार्किंग की अनुमति है।")</f>
        <v>यह पार्किंग क्षेत्र आगंतुकों के वाहनों के लिए बनाया गया है। इससे व्यस्त स्थानों के पास यातायात प्रबंधन में मदद मिलती है। यहां सीमित समय के लिए ही पार्किंग की अनुमति है।</v>
      </c>
      <c r="N203" s="10" t="str">
        <f>IFERROR(__xludf.DUMMYFUNCTION("GOOGLETRANSLATE(K203,""en"",""ta"")"),"இந்த பார்க்கிங் பகுதி பார்வையாளர் வாகனங்களுக்காக ஒதுக்கப்பட்டுள்ளது. இது பரபரப்பான இடங்களுக்கு அருகில் போக்குவரத்தை நிர்வகிக்க உதவுகிறது. குறிப்பிட்ட நேரத்திற்கு மட்டுமே பார்க்கிங் அனுமதிக்கப்படுகிறது.")</f>
        <v>இந்த பார்க்கிங் பகுதி பார்வையாளர் வாகனங்களுக்காக ஒதுக்கப்பட்டுள்ளது. இது பரபரப்பான இடங்களுக்கு அருகில் போக்குவரத்தை நிர்வகிக்க உதவுகிறது. குறிப்பிட்ட நேரத்திற்கு மட்டுமே பார்க்கிங் அனுமதிக்கப்படுகிறது.</v>
      </c>
      <c r="O203" s="10" t="str">
        <f>IFERROR(__xludf.DUMMYFUNCTION("GOOGLETRANSLATE(K203,""en"",""kn"")"),"ಈ ಪಾರ್ಕಿಂಗ್ ಪ್ರದೇಶವನ್ನು ಸಂದರ್ಶಕರ ವಾಹನಗಳಿಗೆ ಒದಗಿಸಲಾಗಿದೆ. ಇದು ಜನನಿಬಿಡ ಸ್ಥಳಗಳ ಬಳಿ ಸಂಚಾರವನ್ನು ನಿರ್ವಹಿಸಲು ಸಹಾಯ ಮಾಡುತ್ತದೆ. ಸೀಮಿತ ಅವಧಿಗೆ ಮಾತ್ರ ಪಾರ್ಕಿಂಗ್‌ಗೆ ಅವಕಾಶವಿದೆ.")</f>
        <v>ಈ ಪಾರ್ಕಿಂಗ್ ಪ್ರದೇಶವನ್ನು ಸಂದರ್ಶಕರ ವಾಹನಗಳಿಗೆ ಒದಗಿಸಲಾಗಿದೆ. ಇದು ಜನನಿಬಿಡ ಸ್ಥಳಗಳ ಬಳಿ ಸಂಚಾರವನ್ನು ನಿರ್ವಹಿಸಲು ಸಹಾಯ ಮಾಡುತ್ತದೆ. ಸೀಮಿತ ಅವಧಿಗೆ ಮಾತ್ರ ಪಾರ್ಕಿಂಗ್‌ಗೆ ಅವಕಾಶವಿದೆ.</v>
      </c>
      <c r="P203" s="10" t="str">
        <f>IFERROR(__xludf.DUMMYFUNCTION("GOOGLETRANSLATE(K203,""en"",""ml"")"),"സന്ദർശക വാഹനങ്ങൾക്കായി ഈ പാർക്കിംഗ് ഏരിയ സജ്ജീകരിച്ചിരിക്കുന്നു. തിരക്കേറിയ സ്ഥലങ്ങൾക്ക് സമീപമുള്ള ഗതാഗതം നിയന്ത്രിക്കാൻ ഇത് സഹായിക്കുന്നു. പരിമിതമായ സമയത്തേക്ക് മാത്രമേ പാർക്കിംഗ് അനുവദിക്കൂ.")</f>
        <v>സന്ദർശക വാഹനങ്ങൾക്കായി ഈ പാർക്കിംഗ് ഏരിയ സജ്ജീകരിച്ചിരിക്കുന്നു. തിരക്കേറിയ സ്ഥലങ്ങൾക്ക് സമീപമുള്ള ഗതാഗതം നിയന്ത്രിക്കാൻ ഇത് സഹായിക്കുന്നു. പരിമിതമായ സമയത്തേക്ക് മാത്രമേ പാർക്കിംഗ് അനുവദിക്കൂ.</v>
      </c>
    </row>
    <row r="204">
      <c r="A204" s="6">
        <f t="shared" si="1"/>
        <v>203</v>
      </c>
      <c r="B204" s="6" t="s">
        <v>713</v>
      </c>
      <c r="C204" s="6">
        <v>16.0719323</v>
      </c>
      <c r="D204" s="6">
        <v>78.8684256</v>
      </c>
      <c r="E204" s="5" t="s">
        <v>668</v>
      </c>
      <c r="F204" s="8" t="s">
        <v>714</v>
      </c>
      <c r="G204" s="8" t="s">
        <v>717</v>
      </c>
      <c r="H204" s="10" t="str">
        <f>IFERROR(__xludf.DUMMYFUNCTION("GOOGLETRANSLATE(B204,""en"",""ta"")"),"பார்க்கிங்")</f>
        <v>பார்க்கிங்</v>
      </c>
      <c r="I204" s="10" t="str">
        <f>IFERROR(__xludf.DUMMYFUNCTION("GOOGLETRANSLATE(B204,""en"",""kn"")"),"ಪಾರ್ಕಿಂಗ್")</f>
        <v>ಪಾರ್ಕಿಂಗ್</v>
      </c>
      <c r="J204" s="10" t="str">
        <f>IFERROR(__xludf.DUMMYFUNCTION("GOOGLETRANSLATE(B204,""en"",""ml"")"),"പാർക്കിംഗ്")</f>
        <v>പാർക്കിംഗ്</v>
      </c>
      <c r="K204" s="12" t="s">
        <v>718</v>
      </c>
      <c r="L204" s="10" t="str">
        <f>IFERROR(__xludf.DUMMYFUNCTION("GOOGLETRANSLATE(K204,""en"",""te"")"),"ఇది అదనపు పార్కింగ్ స్థలం. ఇది ఓవర్‌ఫ్లో వాహనాల పార్కింగ్‌కు మద్దతు ఇస్తుంది. రద్దీ సమయాల్లో యాక్సెస్ మారవచ్చు. వాహనాలను యజమాని బాధ్యతపై పార్క్ చేస్తారు.")</f>
        <v>ఇది అదనపు పార్కింగ్ స్థలం. ఇది ఓవర్‌ఫ్లో వాహనాల పార్కింగ్‌కు మద్దతు ఇస్తుంది. రద్దీ సమయాల్లో యాక్సెస్ మారవచ్చు. వాహనాలను యజమాని బాధ్యతపై పార్క్ చేస్తారు.</v>
      </c>
      <c r="M204" s="10" t="str">
        <f>IFERROR(__xludf.DUMMYFUNCTION("GOOGLETRANSLATE(K204,""en"",""hi"")"),"यह एक अतिरिक्त निर्धारित पार्किंग स्थान है। यहाँ अतिरिक्त वाहनों की पार्किंग की सुविधा उपलब्ध है। व्यस्त समय में यहाँ पहुँच में बदलाव हो सकता है। वाहन मालिक के जोखिम पर पार्क किए जाते हैं।")</f>
        <v>यह एक अतिरिक्त निर्धारित पार्किंग स्थान है। यहाँ अतिरिक्त वाहनों की पार्किंग की सुविधा उपलब्ध है। व्यस्त समय में यहाँ पहुँच में बदलाव हो सकता है। वाहन मालिक के जोखिम पर पार्क किए जाते हैं।</v>
      </c>
      <c r="N204" s="10" t="str">
        <f>IFERROR(__xludf.DUMMYFUNCTION("GOOGLETRANSLATE(K204,""en"",""ta"")"),"இது கூடுதலாக நியமிக்கப்பட்ட பார்க்கிங் இடமாகும். இது நிரம்பி வழியும் வாகன நிறுத்துமிடத்தை ஆதரிக்கிறது. உச்ச நேரங்களில் அணுகல் மாறுபடலாம். வாகனங்கள் உரிமையாளரின் பொறுப்பில் நிறுத்தப்படுகின்றன.")</f>
        <v>இது கூடுதலாக நியமிக்கப்பட்ட பார்க்கிங் இடமாகும். இது நிரம்பி வழியும் வாகன நிறுத்துமிடத்தை ஆதரிக்கிறது. உச்ச நேரங்களில் அணுகல் மாறுபடலாம். வாகனங்கள் உரிமையாளரின் பொறுப்பில் நிறுத்தப்படுகின்றன.</v>
      </c>
      <c r="O204" s="10" t="str">
        <f>IFERROR(__xludf.DUMMYFUNCTION("GOOGLETRANSLATE(K204,""en"",""kn"")"),"ಇದು ಹೆಚ್ಚುವರಿ ಗೊತ್ತುಪಡಿಸಿದ ಪಾರ್ಕಿಂಗ್ ಸ್ಥಳವಾಗಿದೆ. ಇದು ಓವರ್‌ಫ್ಲೋ ವಾಹನ ಪಾರ್ಕಿಂಗ್ ಅನ್ನು ಬೆಂಬಲಿಸುತ್ತದೆ. ಪೀಕ್ ಸಮಯದಲ್ಲಿ ಪ್ರವೇಶವು ಬದಲಾಗಬಹುದು. ವಾಹನಗಳನ್ನು ಮಾಲೀಕರ ಅಪಾಯದಲ್ಲಿ ನಿಲ್ಲಿಸಲಾಗುತ್ತದೆ.")</f>
        <v>ಇದು ಹೆಚ್ಚುವರಿ ಗೊತ್ತುಪಡಿಸಿದ ಪಾರ್ಕಿಂಗ್ ಸ್ಥಳವಾಗಿದೆ. ಇದು ಓವರ್‌ಫ್ಲೋ ವಾಹನ ಪಾರ್ಕಿಂಗ್ ಅನ್ನು ಬೆಂಬಲಿಸುತ್ತದೆ. ಪೀಕ್ ಸಮಯದಲ್ಲಿ ಪ್ರವೇಶವು ಬದಲಾಗಬಹುದು. ವಾಹನಗಳನ್ನು ಮಾಲೀಕರ ಅಪಾಯದಲ್ಲಿ ನಿಲ್ಲಿಸಲಾಗುತ್ತದೆ.</v>
      </c>
      <c r="P204" s="10" t="str">
        <f>IFERROR(__xludf.DUMMYFUNCTION("GOOGLETRANSLATE(K204,""en"",""ml"")"),"ഇത് ഒരു അധിക പാർക്കിംഗ് സ്ഥലമാണ്. ഇത് വാഹന പാർക്കിംഗിനെ പിന്തുണയ്ക്കുന്നു. തിരക്കേറിയ സമയങ്ങളിൽ ആക്‌സസ് വ്യത്യാസപ്പെടാം. വാഹനങ്ങൾ പാർക്ക് ചെയ്യുന്നത് ഉടമയുടെ ഉത്തരവാദിത്തത്തിലാണ്.")</f>
        <v>ഇത് ഒരു അധിക പാർക്കിംഗ് സ്ഥലമാണ്. ഇത് വാഹന പാർക്കിംഗിനെ പിന്തുണയ്ക്കുന്നു. തിരക്കേറിയ സമയങ്ങളിൽ ആക്‌സസ് വ്യത്യാസപ്പെടാം. വാഹനങ്ങൾ പാർക്ക് ചെയ്യുന്നത് ഉടമയുടെ ഉത്തരവാദിത്തത്തിലാണ്.</v>
      </c>
    </row>
    <row r="205">
      <c r="A205" s="6">
        <f t="shared" si="1"/>
        <v>204</v>
      </c>
      <c r="B205" s="6" t="s">
        <v>719</v>
      </c>
      <c r="C205" s="6">
        <v>16.0729401</v>
      </c>
      <c r="D205" s="6">
        <v>78.8720073</v>
      </c>
      <c r="E205" s="5" t="s">
        <v>668</v>
      </c>
      <c r="F205" s="11" t="str">
        <f>IFERROR(__xludf.DUMMYFUNCTION("GOOGLETRANSLATE(B205,""en"",""te"")"),"వాహనాల పార్కింగ్")</f>
        <v>వాహనాల పార్కింగ్</v>
      </c>
      <c r="G205" s="10" t="str">
        <f>IFERROR(__xludf.DUMMYFUNCTION("GOOGLETRANSLATE(B205,""en"",""hi"")"),"वाहन पार्किंग")</f>
        <v>वाहन पार्किंग</v>
      </c>
      <c r="H205" s="10" t="str">
        <f>IFERROR(__xludf.DUMMYFUNCTION("GOOGLETRANSLATE(B205,""en"",""ta"")"),"வாகன நிறுத்துமிடம்")</f>
        <v>வாகன நிறுத்துமிடம்</v>
      </c>
      <c r="I205" s="10" t="str">
        <f>IFERROR(__xludf.DUMMYFUNCTION("GOOGLETRANSLATE(B205,""en"",""kn"")"),"ವಾಹನ ಪಾರ್ಕಿಂಗ್")</f>
        <v>ವಾಹನ ಪಾರ್ಕಿಂಗ್</v>
      </c>
      <c r="J205" s="10" t="str">
        <f>IFERROR(__xludf.DUMMYFUNCTION("GOOGLETRANSLATE(B205,""en"",""ml"")"),"വാഹന പാർക്കിംഗ്")</f>
        <v>വാഹന പാർക്കിംഗ്</v>
      </c>
      <c r="K205" s="12" t="s">
        <v>720</v>
      </c>
      <c r="L205" s="10" t="str">
        <f>IFERROR(__xludf.DUMMYFUNCTION("GOOGLETRANSLATE(K205,""en"",""te"")"),"వాహనాల పార్కింగ్ ద్విచక్ర వాహనాలు మరియు నాలుగు చక్రాల వాహనాల కోసం ఉద్దేశించబడింది. ఇది ప్రజా ప్రాంతాల దగ్గర రద్దీని తగ్గిస్తుంది. పార్కింగ్ సాధారణంగా నిర్ణీత సమయంలో జరుగుతుంది. భద్రత పరిమితంగా ఉండవచ్చు.")</f>
        <v>వాహనాల పార్కింగ్ ద్విచక్ర వాహనాలు మరియు నాలుగు చక్రాల వాహనాల కోసం ఉద్దేశించబడింది. ఇది ప్రజా ప్రాంతాల దగ్గర రద్దీని తగ్గిస్తుంది. పార్కింగ్ సాధారణంగా నిర్ణీత సమయంలో జరుగుతుంది. భద్రత పరిమితంగా ఉండవచ్చు.</v>
      </c>
      <c r="M205" s="10" t="str">
        <f>IFERROR(__xludf.DUMMYFUNCTION("GOOGLETRANSLATE(K205,""en"",""hi"")"),"वाहन पार्किंग दोपहिया और चार पहिया वाहनों के लिए है। इससे सार्वजनिक स्थानों के पास भीड़भाड़ कम होती है। पार्किंग आमतौर पर समयबद्ध होती है। सुरक्षा व्यवस्था सीमित हो सकती है।")</f>
        <v>वाहन पार्किंग दोपहिया और चार पहिया वाहनों के लिए है। इससे सार्वजनिक स्थानों के पास भीड़भाड़ कम होती है। पार्किंग आमतौर पर समयबद्ध होती है। सुरक्षा व्यवस्था सीमित हो सकती है।</v>
      </c>
      <c r="N205" s="10" t="str">
        <f>IFERROR(__xludf.DUMMYFUNCTION("GOOGLETRANSLATE(K205,""en"",""ta"")"),"வாகன நிறுத்துமிடம் இரு சக்கர வாகனங்கள் மற்றும் நான்கு சக்கர வாகனங்களுக்கானது. இது பொது இடங்களுக்கு அருகில் நெரிசலைக் குறைக்கிறது. பார்க்கிங் பொதுவாக குறிப்பிட்ட நேரத்திற்குள் முடிக்கப்படும். பாதுகாப்பு குறைவாக இருக்கலாம்.")</f>
        <v>வாகன நிறுத்துமிடம் இரு சக்கர வாகனங்கள் மற்றும் நான்கு சக்கர வாகனங்களுக்கானது. இது பொது இடங்களுக்கு அருகில் நெரிசலைக் குறைக்கிறது. பார்க்கிங் பொதுவாக குறிப்பிட்ட நேரத்திற்குள் முடிக்கப்படும். பாதுகாப்பு குறைவாக இருக்கலாம்.</v>
      </c>
      <c r="O205" s="10" t="str">
        <f>IFERROR(__xludf.DUMMYFUNCTION("GOOGLETRANSLATE(K205,""en"",""kn"")"),"ವಾಹನ ನಿಲುಗಡೆ ದ್ವಿಚಕ್ರ ವಾಹನಗಳು ಮತ್ತು ನಾಲ್ಕು ಚಕ್ರಗಳ ವಾಹನಗಳಿಗೆ ಮಾತ್ರ. ಇದು ಸಾರ್ವಜನಿಕ ಪ್ರದೇಶಗಳ ಬಳಿ ದಟ್ಟಣೆಯನ್ನು ಕಡಿಮೆ ಮಾಡುತ್ತದೆ. ಪಾರ್ಕಿಂಗ್ ಸಾಮಾನ್ಯವಾಗಿ ಸಮಯಕ್ಕೆ ಸೀಮಿತವಾಗಿರುತ್ತದೆ. ಭದ್ರತೆ ಸೀಮಿತವಾಗಿರಬಹುದು.")</f>
        <v>ವಾಹನ ನಿಲುಗಡೆ ದ್ವಿಚಕ್ರ ವಾಹನಗಳು ಮತ್ತು ನಾಲ್ಕು ಚಕ್ರಗಳ ವಾಹನಗಳಿಗೆ ಮಾತ್ರ. ಇದು ಸಾರ್ವಜನಿಕ ಪ್ರದೇಶಗಳ ಬಳಿ ದಟ್ಟಣೆಯನ್ನು ಕಡಿಮೆ ಮಾಡುತ್ತದೆ. ಪಾರ್ಕಿಂಗ್ ಸಾಮಾನ್ಯವಾಗಿ ಸಮಯಕ್ಕೆ ಸೀಮಿತವಾಗಿರುತ್ತದೆ. ಭದ್ರತೆ ಸೀಮಿತವಾಗಿರಬಹುದು.</v>
      </c>
      <c r="P205" s="10" t="str">
        <f>IFERROR(__xludf.DUMMYFUNCTION("GOOGLETRANSLATE(K205,""en"",""ml"")"),"ഇരുചക്ര വാഹനങ്ങൾക്കും നാലുചക്ര വാഹനങ്ങൾക്കും മാത്രമായി വാഹന പാർക്കിംഗ് സൗകര്യം ഒരുക്കിയിരിക്കുന്നു. പൊതുസ്ഥലങ്ങളിലെ തിരക്ക് കുറയ്ക്കുന്നതിനാണിത്. പാർക്കിംഗ് സാധാരണയായി സമയബന്ധിതമായിരിക്കും. സുരക്ഷ പരിമിതമായിരിക്കാം.")</f>
        <v>ഇരുചക്ര വാഹനങ്ങൾക്കും നാലുചക്ര വാഹനങ്ങൾക്കും മാത്രമായി വാഹന പാർക്കിംഗ് സൗകര്യം ഒരുക്കിയിരിക്കുന്നു. പൊതുസ്ഥലങ്ങളിലെ തിരക്ക് കുറയ്ക്കുന്നതിനാണിത്. പാർക്കിംഗ് സാധാരണയായി സമയബന്ധിതമായിരിക്കും. സുരക്ഷ പരിമിതമായിരിക്കാം.</v>
      </c>
    </row>
    <row r="206">
      <c r="A206" s="6">
        <f t="shared" si="1"/>
        <v>205</v>
      </c>
      <c r="B206" s="6" t="s">
        <v>721</v>
      </c>
      <c r="C206" s="6">
        <v>16.0715745</v>
      </c>
      <c r="D206" s="6">
        <v>78.8721057</v>
      </c>
      <c r="E206" s="5" t="s">
        <v>668</v>
      </c>
      <c r="F206" s="8" t="s">
        <v>714</v>
      </c>
      <c r="G206" s="10" t="str">
        <f>IFERROR(__xludf.DUMMYFUNCTION("GOOGLETRANSLATE(B206,""en"",""hi"")"),"कार पार्किंग, श्रीशैलम")</f>
        <v>कार पार्किंग, श्रीशैलम</v>
      </c>
      <c r="H206" s="10" t="str">
        <f>IFERROR(__xludf.DUMMYFUNCTION("GOOGLETRANSLATE(B206,""en"",""ta"")"),"கார் நிறுத்துமிடம், ஸ்ரீசைலம்")</f>
        <v>கார் நிறுத்துமிடம், ஸ்ரீசைலம்</v>
      </c>
      <c r="I206" s="10" t="str">
        <f>IFERROR(__xludf.DUMMYFUNCTION("GOOGLETRANSLATE(B206,""en"",""kn"")"),"ಕಾರು ಪಾರ್ಕಿಂಗ್, ಶ್ರೀಶೈಲಂ")</f>
        <v>ಕಾರು ಪಾರ್ಕಿಂಗ್, ಶ್ರೀಶೈಲಂ</v>
      </c>
      <c r="J206" s="10" t="str">
        <f>IFERROR(__xludf.DUMMYFUNCTION("GOOGLETRANSLATE(B206,""en"",""ml"")"),"കാർ പാർക്കിംഗ് സ്ഥലം, Srisailam")</f>
        <v>കാർ പാർക്കിംഗ് സ്ഥലം, Srisailam</v>
      </c>
      <c r="K206" s="12" t="s">
        <v>722</v>
      </c>
      <c r="L206" s="10" t="str">
        <f>IFERROR(__xludf.DUMMYFUNCTION("GOOGLETRANSLATE(K206,""en"",""te"")"),"శ్రీశైలంలో కార్ పార్కింగ్ ప్రైవేట్ కార్ల కోసం కేటాయించబడింది. ఇది ప్రధాన సందర్శకుల ప్రాంతాలకు సమీపంలో ఉంది. పార్కింగ్ స్థలాలు లభ్యతకు లోబడి ఉంటాయి. ఛార్జీలు వర్తించవచ్చు.")</f>
        <v>శ్రీశైలంలో కార్ పార్కింగ్ ప్రైవేట్ కార్ల కోసం కేటాయించబడింది. ఇది ప్రధాన సందర్శకుల ప్రాంతాలకు సమీపంలో ఉంది. పార్కింగ్ స్థలాలు లభ్యతకు లోబడి ఉంటాయి. ఛార్జీలు వర్తించవచ్చు.</v>
      </c>
      <c r="M206" s="10" t="str">
        <f>IFERROR(__xludf.DUMMYFUNCTION("GOOGLETRANSLATE(K206,""en"",""hi"")"),"श्रीशैलम में पार्किंग निजी कारों के लिए निर्धारित है। यह प्रमुख पर्यटक स्थलों के पास स्थित है। पार्किंग स्लॉट उपलब्धता के आधार पर दिए जाते हैं। शुल्क लागू हो सकते हैं।")</f>
        <v>श्रीशैलम में पार्किंग निजी कारों के लिए निर्धारित है। यह प्रमुख पर्यटक स्थलों के पास स्थित है। पार्किंग स्लॉट उपलब्धता के आधार पर दिए जाते हैं। शुल्क लागू हो सकते हैं।</v>
      </c>
      <c r="N206" s="10" t="str">
        <f>IFERROR(__xludf.DUMMYFUNCTION("GOOGLETRANSLATE(K206,""en"",""ta"")"),"ஸ்ரீசைலத்தில் கார் பார்க்கிங் தனியார் கார்களுக்காகவே ஒதுக்கப்பட்டுள்ளது. இது முக்கிய பார்வையாளர் பகுதிகளுக்கு அருகில் அமைந்துள்ளது. பார்க்கிங் இடங்கள் கிடைப்பதைப் பொறுத்தது. கட்டணங்கள் விதிக்கப்படலாம்.")</f>
        <v>ஸ்ரீசைலத்தில் கார் பார்க்கிங் தனியார் கார்களுக்காகவே ஒதுக்கப்பட்டுள்ளது. இது முக்கிய பார்வையாளர் பகுதிகளுக்கு அருகில் அமைந்துள்ளது. பார்க்கிங் இடங்கள் கிடைப்பதைப் பொறுத்தது. கட்டணங்கள் விதிக்கப்படலாம்.</v>
      </c>
      <c r="O206" s="10" t="str">
        <f>IFERROR(__xludf.DUMMYFUNCTION("GOOGLETRANSLATE(K206,""en"",""kn"")"),"ಶ್ರೀಶೈಲಂನಲ್ಲಿ ಕಾರು ಪಾರ್ಕಿಂಗ್ ಖಾಸಗಿ ಕಾರುಗಳಿಗೆ ಮಾತ್ರ ಮೀಸಲಾಗಿದೆ. ಇದು ಪ್ರಮುಖ ಸಂದರ್ಶಕರ ಪ್ರದೇಶಗಳ ಬಳಿ ಇದೆ. ಪಾರ್ಕಿಂಗ್ ಸ್ಥಳಗಳು ಲಭ್ಯತೆಗೆ ಒಳಪಟ್ಟಿರುತ್ತವೆ. ಶುಲ್ಕಗಳು ಅನ್ವಯಿಸಬಹುದು.")</f>
        <v>ಶ್ರೀಶೈಲಂನಲ್ಲಿ ಕಾರು ಪಾರ್ಕಿಂಗ್ ಖಾಸಗಿ ಕಾರುಗಳಿಗೆ ಮಾತ್ರ ಮೀಸಲಾಗಿದೆ. ಇದು ಪ್ರಮುಖ ಸಂದರ್ಶಕರ ಪ್ರದೇಶಗಳ ಬಳಿ ಇದೆ. ಪಾರ್ಕಿಂಗ್ ಸ್ಥಳಗಳು ಲಭ್ಯತೆಗೆ ಒಳಪಟ್ಟಿರುತ್ತವೆ. ಶುಲ್ಕಗಳು ಅನ್ವಯಿಸಬಹುದು.</v>
      </c>
      <c r="P206" s="10" t="str">
        <f>IFERROR(__xludf.DUMMYFUNCTION("GOOGLETRANSLATE(K206,""en"",""ml"")"),"ശ്രീശൈലത്ത് സ്വകാര്യ കാറുകൾ പാർക്ക് ചെയ്യുന്നതിനുള്ള സൗകര്യം ഒരുക്കിയിരിക്കുന്നു. പ്രധാന സന്ദർശക കേന്ദ്രങ്ങൾക്ക് സമീപമാണ് ഇത് സ്ഥിതി ചെയ്യുന്നത്. പാർക്കിംഗ് സ്ഥലങ്ങളുടെ ലഭ്യതയ്ക്ക് വിധേയമാണ്. നിരക്കുകൾ ബാധകമായേക്കാം.")</f>
        <v>ശ്രീശൈലത്ത് സ്വകാര്യ കാറുകൾ പാർക്ക് ചെയ്യുന്നതിനുള്ള സൗകര്യം ഒരുക്കിയിരിക്കുന്നു. പ്രധാന സന്ദർശക കേന്ദ്രങ്ങൾക്ക് സമീപമാണ് ഇത് സ്ഥിതി ചെയ്യുന്നത്. പാർക്കിംഗ് സ്ഥലങ്ങളുടെ ലഭ്യതയ്ക്ക് വിധേയമാണ്. നിരക്കുകൾ ബാധകമായേക്കാം.</v>
      </c>
    </row>
    <row r="207">
      <c r="A207" s="6">
        <f t="shared" si="1"/>
        <v>206</v>
      </c>
      <c r="B207" s="6" t="s">
        <v>723</v>
      </c>
      <c r="C207" s="6">
        <v>16.0733022</v>
      </c>
      <c r="D207" s="6">
        <v>78.8721894</v>
      </c>
      <c r="E207" s="5" t="s">
        <v>668</v>
      </c>
      <c r="F207" s="11" t="str">
        <f>IFERROR(__xludf.DUMMYFUNCTION("GOOGLETRANSLATE(B207,""en"",""te"")"),"అంకాలమ్మ పార్కింగ్")</f>
        <v>అంకాలమ్మ పార్కింగ్</v>
      </c>
      <c r="G207" s="10" t="str">
        <f>IFERROR(__xludf.DUMMYFUNCTION("GOOGLETRANSLATE(B207,""en"",""hi"")"),"अंकलम्मा पार्किंग")</f>
        <v>अंकलम्मा पार्किंग</v>
      </c>
      <c r="H207" s="10" t="str">
        <f>IFERROR(__xludf.DUMMYFUNCTION("GOOGLETRANSLATE(B207,""en"",""ta"")"),"அங்கலம்மா பார்க்கிங்")</f>
        <v>அங்கலம்மா பார்க்கிங்</v>
      </c>
      <c r="I207" s="10" t="str">
        <f>IFERROR(__xludf.DUMMYFUNCTION("GOOGLETRANSLATE(B207,""en"",""kn"")"),"ಅಂಕಲಮ್ಮ ಪಾರ್ಕಿಂಗ್")</f>
        <v>ಅಂಕಲಮ್ಮ ಪಾರ್ಕಿಂಗ್</v>
      </c>
      <c r="J207" s="10" t="str">
        <f>IFERROR(__xludf.DUMMYFUNCTION("GOOGLETRANSLATE(B207,""en"",""ml"")"),"അങ്കലമ്മ പാർക്കിംഗ്")</f>
        <v>അങ്കലമ്മ പാർക്കിംഗ്</v>
      </c>
      <c r="K207" s="12" t="s">
        <v>724</v>
      </c>
      <c r="L207" s="10" t="str">
        <f>IFERROR(__xludf.DUMMYFUNCTION("GOOGLETRANSLATE(K207,""en"",""te"")"),"అంకాలమ్మ పార్కింగ్ సమీపంలోని సౌకర్యాల దగ్గర వాహనాల పార్కింగ్‌ను అందిస్తుంది. ఇది స్థానిక మరియు సందర్శకుల రద్దీకి మద్దతు ఇస్తుంది. పార్కింగ్ మొదట వచ్చిన వారికే అందుబాటులో ఉంటుంది. స్థానిక పార్కింగ్ నియమాలను పాటించండి.")</f>
        <v>అంకాలమ్మ పార్కింగ్ సమీపంలోని సౌకర్యాల దగ్గర వాహనాల పార్కింగ్‌ను అందిస్తుంది. ఇది స్థానిక మరియు సందర్శకుల రద్దీకి మద్దతు ఇస్తుంది. పార్కింగ్ మొదట వచ్చిన వారికే అందుబాటులో ఉంటుంది. స్థానిక పార్కింగ్ నియమాలను పాటించండి.</v>
      </c>
      <c r="M207" s="10" t="str">
        <f>IFERROR(__xludf.DUMMYFUNCTION("GOOGLETRANSLATE(K207,""en"",""hi"")"),"अंकलम्मा पार्किंग आस-पास की सुविधाओं के करीब वाहन पार्किंग की सुविधा प्रदान करती है। यह स्थानीय और पर्यटक यातायात के लिए सुविधाजनक है। पार्किंग पहले आओ पहले पाओ के आधार पर उपलब्ध है। कृपया स्थानीय पार्किंग नियमों का पालन करें।")</f>
        <v>अंकलम्मा पार्किंग आस-पास की सुविधाओं के करीब वाहन पार्किंग की सुविधा प्रदान करती है। यह स्थानीय और पर्यटक यातायात के लिए सुविधाजनक है। पार्किंग पहले आओ पहले पाओ के आधार पर उपलब्ध है। कृपया स्थानीय पार्किंग नियमों का पालन करें।</v>
      </c>
      <c r="N207" s="10" t="str">
        <f>IFERROR(__xludf.DUMMYFUNCTION("GOOGLETRANSLATE(K207,""en"",""ta"")"),"அங்காளம்மா பார்க்கிங் அருகிலுள்ள வசதிகளுக்கு அருகில் வாகன நிறுத்துமிடத்தை வழங்குகிறது. இது உள்ளூர் மற்றும் பார்வையாளர் போக்குவரத்தை ஆதரிக்கிறது. முதலில் வருபவர்களுக்கு மட்டுமே பார்க்கிங் வசதி உள்ளது. உள்ளூர் பார்க்கிங் விதிகளைப் பின்பற்றவும்.")</f>
        <v>அங்காளம்மா பார்க்கிங் அருகிலுள்ள வசதிகளுக்கு அருகில் வாகன நிறுத்துமிடத்தை வழங்குகிறது. இது உள்ளூர் மற்றும் பார்வையாளர் போக்குவரத்தை ஆதரிக்கிறது. முதலில் வருபவர்களுக்கு மட்டுமே பார்க்கிங் வசதி உள்ளது. உள்ளூர் பார்க்கிங் விதிகளைப் பின்பற்றவும்.</v>
      </c>
      <c r="O207" s="10" t="str">
        <f>IFERROR(__xludf.DUMMYFUNCTION("GOOGLETRANSLATE(K207,""en"",""kn"")"),"ಅಂಕಾಳಮ್ಮ ಪಾರ್ಕಿಂಗ್ ಹತ್ತಿರದ ಸೌಲಭ್ಯಗಳ ಬಳಿ ವಾಹನ ನಿಲುಗಡೆಗೆ ಅವಕಾಶ ನೀಡುತ್ತದೆ. ಇದು ಸ್ಥಳೀಯ ಮತ್ತು ಸಂದರ್ಶಕರ ಸಂಚಾರವನ್ನು ಬೆಂಬಲಿಸುತ್ತದೆ. ಮೊದಲು ಬಂದವರಿಗೆ ಪಾರ್ಕಿಂಗ್ ಲಭ್ಯವಿದೆ. ಸ್ಥಳೀಯ ಪಾರ್ಕಿಂಗ್ ನಿಯಮಗಳನ್ನು ಅನುಸರಿಸಿ.")</f>
        <v>ಅಂಕಾಳಮ್ಮ ಪಾರ್ಕಿಂಗ್ ಹತ್ತಿರದ ಸೌಲಭ್ಯಗಳ ಬಳಿ ವಾಹನ ನಿಲುಗಡೆಗೆ ಅವಕಾಶ ನೀಡುತ್ತದೆ. ಇದು ಸ್ಥಳೀಯ ಮತ್ತು ಸಂದರ್ಶಕರ ಸಂಚಾರವನ್ನು ಬೆಂಬಲಿಸುತ್ತದೆ. ಮೊದಲು ಬಂದವರಿಗೆ ಪಾರ್ಕಿಂಗ್ ಲಭ್ಯವಿದೆ. ಸ್ಥಳೀಯ ಪಾರ್ಕಿಂಗ್ ನಿಯಮಗಳನ್ನು ಅನುಸರಿಸಿ.</v>
      </c>
      <c r="P207" s="10" t="str">
        <f>IFERROR(__xludf.DUMMYFUNCTION("GOOGLETRANSLATE(K207,""en"",""ml"")"),"അങ്കളമ്മ പാർക്കിംഗ് സൗകര്യങ്ങൾ സമീപത്തുള്ള സൗകര്യങ്ങൾക്ക് സമീപം വാഹന പാർക്കിംഗ് നൽകുന്നു. ഇത് പ്രാദേശിക, സന്ദർശക ഗതാഗതത്തെ പിന്തുണയ്ക്കുന്നു. ആദ്യം വരുന്നവർക്ക് പാർക്കിംഗ് ലഭ്യമാണ്. പ്രാദേശിക പാർക്കിംഗ് നിയമങ്ങൾ പാലിക്കുക.")</f>
        <v>അങ്കളമ്മ പാർക്കിംഗ് സൗകര്യങ്ങൾ സമീപത്തുള്ള സൗകര്യങ്ങൾക്ക് സമീപം വാഹന പാർക്കിംഗ് നൽകുന്നു. ഇത് പ്രാദേശിക, സന്ദർശക ഗതാഗതത്തെ പിന്തുണയ്ക്കുന്നു. ആദ്യം വരുന്നവർക്ക് പാർക്കിംഗ് ലഭ്യമാണ്. പ്രാദേശിക പാർക്കിംഗ് നിയമങ്ങൾ പാലിക്കുക.</v>
      </c>
    </row>
    <row r="208">
      <c r="A208" s="6">
        <f t="shared" si="1"/>
        <v>207</v>
      </c>
      <c r="B208" s="6" t="s">
        <v>725</v>
      </c>
      <c r="C208" s="6">
        <v>16.0731534</v>
      </c>
      <c r="D208" s="6">
        <v>78.8719517</v>
      </c>
      <c r="E208" s="5" t="s">
        <v>668</v>
      </c>
      <c r="F208" s="11" t="str">
        <f>IFERROR(__xludf.DUMMYFUNCTION("GOOGLETRANSLATE(B208,""en"",""te"")"),"అన్నపూర్ణ సత్రం కార్ పార్కింగ్")</f>
        <v>అన్నపూర్ణ సత్రం కార్ పార్కింగ్</v>
      </c>
      <c r="G208" s="10" t="str">
        <f>IFERROR(__xludf.DUMMYFUNCTION("GOOGLETRANSLATE(B208,""en"",""hi"")"),"अन्नपूर्णा सतरम कार पार्किंग")</f>
        <v>अन्नपूर्णा सतरम कार पार्किंग</v>
      </c>
      <c r="H208" s="10" t="str">
        <f>IFERROR(__xludf.DUMMYFUNCTION("GOOGLETRANSLATE(B208,""en"",""ta"")"),"அன்னபூர்ணா சத்ரம் கார் பார்க்கிங்")</f>
        <v>அன்னபூர்ணா சத்ரம் கார் பார்க்கிங்</v>
      </c>
      <c r="I208" s="10" t="str">
        <f>IFERROR(__xludf.DUMMYFUNCTION("GOOGLETRANSLATE(B208,""en"",""kn"")"),"ಅನ್ನಪೂರ್ಣ ಸತ್ರಮ್ ಕಾರ್ ಪಾರ್ಕಿಂಗ್")</f>
        <v>ಅನ್ನಪೂರ್ಣ ಸತ್ರಮ್ ಕಾರ್ ಪಾರ್ಕಿಂಗ್</v>
      </c>
      <c r="J208" s="10" t="str">
        <f>IFERROR(__xludf.DUMMYFUNCTION("GOOGLETRANSLATE(B208,""en"",""ml"")"),"അന്നപൂർണ്ണ സത്രം കാർ പാർക്കിംഗ്")</f>
        <v>അന്നപൂർണ്ണ സത്രം കാർ പാർക്കിംഗ്</v>
      </c>
      <c r="K208" s="12" t="s">
        <v>726</v>
      </c>
      <c r="L208" s="10" t="str">
        <f>IFERROR(__xludf.DUMMYFUNCTION("GOOGLETRANSLATE(K208,""en"",""te"")"),"ఈ కార్ పార్కింగ్ ప్రాంతం అన్నపూర్ణ సత్రం సందర్శకులకు సేవలు అందిస్తుంది. ఇది సమీపంలోని సౌకర్యాలను సులభంగా చేరుకోవడానికి వీలు కల్పిస్తుంది. రద్దీ సమయాల్లో పార్కింగ్ నిర్వహించబడుతుంది. వాహనాలను సరిగ్గా పార్క్ చేయాలి.")</f>
        <v>ఈ కార్ పార్కింగ్ ప్రాంతం అన్నపూర్ణ సత్రం సందర్శకులకు సేవలు అందిస్తుంది. ఇది సమీపంలోని సౌకర్యాలను సులభంగా చేరుకోవడానికి వీలు కల్పిస్తుంది. రద్దీ సమయాల్లో పార్కింగ్ నిర్వహించబడుతుంది. వాహనాలను సరిగ్గా పార్క్ చేయాలి.</v>
      </c>
      <c r="M208" s="10" t="str">
        <f>IFERROR(__xludf.DUMMYFUNCTION("GOOGLETRANSLATE(K208,""en"",""hi"")"),"यह पार्किंग क्षेत्र अन्नपूर्णा सतरम आने वाले पर्यटकों के लिए है। इससे आस-पास की सुविधाओं तक आसानी से पहुंचा जा सकता है। व्यस्त समय में पार्किंग व्यवस्था नियंत्रित रहती है। कृपया वाहनों को सही ढंग से पार्क करें।")</f>
        <v>यह पार्किंग क्षेत्र अन्नपूर्णा सतरम आने वाले पर्यटकों के लिए है। इससे आस-पास की सुविधाओं तक आसानी से पहुंचा जा सकता है। व्यस्त समय में पार्किंग व्यवस्था नियंत्रित रहती है। कृपया वाहनों को सही ढंग से पार्क करें।</v>
      </c>
      <c r="N208" s="10" t="str">
        <f>IFERROR(__xludf.DUMMYFUNCTION("GOOGLETRANSLATE(K208,""en"",""ta"")"),"இந்த கார் பார்க்கிங் பகுதி அன்னபூர்ணா சத்திரத்திற்கு வருபவர்களுக்கு உதவுகிறது. இது அருகிலுள்ள வசதிகளை எளிதாக அணுக அனுமதிக்கிறது. நெரிசல் நேரங்களில் பார்க்கிங் நிர்வகிக்கப்படுகிறது. வாகனங்களை முறையாக நிறுத்த வேண்டும்.")</f>
        <v>இந்த கார் பார்க்கிங் பகுதி அன்னபூர்ணா சத்திரத்திற்கு வருபவர்களுக்கு உதவுகிறது. இது அருகிலுள்ள வசதிகளை எளிதாக அணுக அனுமதிக்கிறது. நெரிசல் நேரங்களில் பார்க்கிங் நிர்வகிக்கப்படுகிறது. வாகனங்களை முறையாக நிறுத்த வேண்டும்.</v>
      </c>
      <c r="O208" s="10" t="str">
        <f>IFERROR(__xludf.DUMMYFUNCTION("GOOGLETRANSLATE(K208,""en"",""kn"")"),"ಈ ಕಾರು ಪಾರ್ಕಿಂಗ್ ಪ್ರದೇಶವು ಅನ್ನಪೂರ್ಣ ಸತ್ರಂಗೆ ಭೇಟಿ ನೀಡುವವರಿಗೆ ಸೇವೆ ಸಲ್ಲಿಸುತ್ತದೆ. ಇದು ಹತ್ತಿರದ ಸೌಲಭ್ಯಗಳಿಗೆ ಸುಲಭವಾಗಿ ಪ್ರವೇಶವನ್ನು ನೀಡುತ್ತದೆ. ಪೀಕ್ ಸಮಯದಲ್ಲಿ ಪಾರ್ಕಿಂಗ್ ಅನ್ನು ನಿರ್ವಹಿಸಲಾಗುತ್ತದೆ. ವಾಹನಗಳನ್ನು ಸರಿಯಾಗಿ ನಿಲ್ಲಿಸಬೇಕು.")</f>
        <v>ಈ ಕಾರು ಪಾರ್ಕಿಂಗ್ ಪ್ರದೇಶವು ಅನ್ನಪೂರ್ಣ ಸತ್ರಂಗೆ ಭೇಟಿ ನೀಡುವವರಿಗೆ ಸೇವೆ ಸಲ್ಲಿಸುತ್ತದೆ. ಇದು ಹತ್ತಿರದ ಸೌಲಭ್ಯಗಳಿಗೆ ಸುಲಭವಾಗಿ ಪ್ರವೇಶವನ್ನು ನೀಡುತ್ತದೆ. ಪೀಕ್ ಸಮಯದಲ್ಲಿ ಪಾರ್ಕಿಂಗ್ ಅನ್ನು ನಿರ್ವಹಿಸಲಾಗುತ್ತದೆ. ವಾಹನಗಳನ್ನು ಸರಿಯಾಗಿ ನಿಲ್ಲಿಸಬೇಕು.</v>
      </c>
      <c r="P208" s="10" t="str">
        <f>IFERROR(__xludf.DUMMYFUNCTION("GOOGLETRANSLATE(K208,""en"",""ml"")"),"അന്നപൂർണ സത്രം സന്ദർശിക്കുന്നവർക്ക് ഈ കാർ പാർക്കിംഗ് ഏരിയ സൗകര്യപ്രദമാണ്. സമീപത്തുള്ള സൗകര്യങ്ങളിലേക്ക് എളുപ്പത്തിൽ എത്തിച്ചേരാൻ ഇത് അനുവദിക്കുന്നു. തിരക്കേറിയ സമയങ്ങളിൽ പാർക്കിംഗ് നിയന്ത്രിക്കപ്പെടുന്നു. വാഹനങ്ങൾ ശരിയായി പാർക്ക് ചെയ്യണം.")</f>
        <v>അന്നപൂർണ സത്രം സന്ദർശിക്കുന്നവർക്ക് ഈ കാർ പാർക്കിംഗ് ഏരിയ സൗകര്യപ്രദമാണ്. സമീപത്തുള്ള സൗകര്യങ്ങളിലേക്ക് എളുപ്പത്തിൽ എത്തിച്ചേരാൻ ഇത് അനുവദിക്കുന്നു. തിരക്കേറിയ സമയങ്ങളിൽ പാർക്കിംഗ് നിയന്ത്രിക്കപ്പെടുന്നു. വാഹനങ്ങൾ ശരിയായി പാർക്ക് ചെയ്യണം.</v>
      </c>
    </row>
    <row r="209">
      <c r="A209" s="6">
        <f t="shared" si="1"/>
        <v>208</v>
      </c>
      <c r="B209" s="6" t="s">
        <v>727</v>
      </c>
      <c r="C209" s="6">
        <v>16.0689087</v>
      </c>
      <c r="D209" s="6">
        <v>78.8692775</v>
      </c>
      <c r="E209" s="5" t="s">
        <v>668</v>
      </c>
      <c r="F209" s="11" t="str">
        <f>IFERROR(__xludf.DUMMYFUNCTION("GOOGLETRANSLATE(B209,""en"",""te"")"),"పర్యాటక బస్సు పార్కింగ్")</f>
        <v>పర్యాటక బస్సు పార్కింగ్</v>
      </c>
      <c r="G209" s="10" t="str">
        <f>IFERROR(__xludf.DUMMYFUNCTION("GOOGLETRANSLATE(B209,""en"",""hi"")"),"पर्यटक बस पार्किंग")</f>
        <v>पर्यटक बस पार्किंग</v>
      </c>
      <c r="H209" s="10" t="str">
        <f>IFERROR(__xludf.DUMMYFUNCTION("GOOGLETRANSLATE(B209,""en"",""ta"")"),"சுற்றுலா பேருந்து நிறுத்துமிடம்")</f>
        <v>சுற்றுலா பேருந்து நிறுத்துமிடம்</v>
      </c>
      <c r="I209" s="10" t="str">
        <f>IFERROR(__xludf.DUMMYFUNCTION("GOOGLETRANSLATE(B209,""en"",""kn"")"),"ಪ್ರವಾಸಿ ಬಸ್ ನಿಲ್ದಾಣ")</f>
        <v>ಪ್ರವಾಸಿ ಬಸ್ ನಿಲ್ದಾಣ</v>
      </c>
      <c r="J209" s="10" t="str">
        <f>IFERROR(__xludf.DUMMYFUNCTION("GOOGLETRANSLATE(B209,""en"",""ml"")"),"ടൂറിസ്റ്റ് ബസ് പാർക്കിംഗ്")</f>
        <v>ടൂറിസ്റ്റ് ബസ് പാർക്കിംഗ്</v>
      </c>
      <c r="K209" s="12" t="s">
        <v>728</v>
      </c>
      <c r="L209" s="10" t="str">
        <f>IFERROR(__xludf.DUMMYFUNCTION("GOOGLETRANSLATE(K209,""en"",""te"")"),"పర్యాటక బస్సు పార్కింగ్ బస్సులు మరియు పెద్ద వాహనాల కోసం ఉద్దేశించబడింది. ఇది సమూహ ప్రయాణ ట్రాఫిక్‌ను నిర్వహించడానికి సహాయపడుతుంది. ప్రవేశం బస్సులకు మాత్రమే పరిమితం చేయబడింది.")</f>
        <v>పర్యాటక బస్సు పార్కింగ్ బస్సులు మరియు పెద్ద వాహనాల కోసం ఉద్దేశించబడింది. ఇది సమూహ ప్రయాణ ట్రాఫిక్‌ను నిర్వహించడానికి సహాయపడుతుంది. ప్రవేశం బస్సులకు మాత్రమే పరిమితం చేయబడింది.</v>
      </c>
      <c r="M209" s="10" t="str">
        <f>IFERROR(__xludf.DUMMYFUNCTION("GOOGLETRANSLATE(K209,""en"",""hi"")"),"पर्यटक बस पार्किंग बसों और बड़े वाहनों के लिए निर्धारित है। यह समूह यात्रा करने वाले यात्रियों के आवागमन को नियंत्रित करने में सहायक है। यहां केवल बसों को ही प्रवेश की अनुमति है।")</f>
        <v>पर्यटक बस पार्किंग बसों और बड़े वाहनों के लिए निर्धारित है। यह समूह यात्रा करने वाले यात्रियों के आवागमन को नियंत्रित करने में सहायक है। यहां केवल बसों को ही प्रवेश की अनुमति है।</v>
      </c>
      <c r="N209" s="10" t="str">
        <f>IFERROR(__xludf.DUMMYFUNCTION("GOOGLETRANSLATE(K209,""en"",""ta"")"),"சுற்றுலா பேருந்து நிறுத்துமிடம் பேருந்துகள் மற்றும் பெரிய வாகனங்களுக்காக ஒதுக்கப்பட்டுள்ளது. இது குழு பயண போக்குவரத்தை நிர்வகிக்க உதவுகிறது. நுழைவு பேருந்துகளுக்கு மட்டுமே.")</f>
        <v>சுற்றுலா பேருந்து நிறுத்துமிடம் பேருந்துகள் மற்றும் பெரிய வாகனங்களுக்காக ஒதுக்கப்பட்டுள்ளது. இது குழு பயண போக்குவரத்தை நிர்வகிக்க உதவுகிறது. நுழைவு பேருந்துகளுக்கு மட்டுமே.</v>
      </c>
      <c r="O209" s="10" t="str">
        <f>IFERROR(__xludf.DUMMYFUNCTION("GOOGLETRANSLATE(K209,""en"",""kn"")"),"ಪ್ರವಾಸಿ ಬಸ್ ನಿಲ್ದಾಣವನ್ನು ಬಸ್‌ಗಳು ಮತ್ತು ದೊಡ್ಡ ವಾಹನಗಳಿಗೆ ಮೀಸಲಿಡಲಾಗಿದೆ. ಇದು ಗುಂಪು ಪ್ರಯಾಣ ದಟ್ಟಣೆಯನ್ನು ನಿರ್ವಹಿಸಲು ಸಹಾಯ ಮಾಡುತ್ತದೆ. ಪ್ರವೇಶವನ್ನು ಬಸ್‌ಗಳಿಗೆ ನಿರ್ಬಂಧಿಸಲಾಗಿದೆ.")</f>
        <v>ಪ್ರವಾಸಿ ಬಸ್ ನಿಲ್ದಾಣವನ್ನು ಬಸ್‌ಗಳು ಮತ್ತು ದೊಡ್ಡ ವಾಹನಗಳಿಗೆ ಮೀಸಲಿಡಲಾಗಿದೆ. ಇದು ಗುಂಪು ಪ್ರಯಾಣ ದಟ್ಟಣೆಯನ್ನು ನಿರ್ವಹಿಸಲು ಸಹಾಯ ಮಾಡುತ್ತದೆ. ಪ್ರವೇಶವನ್ನು ಬಸ್‌ಗಳಿಗೆ ನಿರ್ಬಂಧಿಸಲಾಗಿದೆ.</v>
      </c>
      <c r="P209" s="10" t="str">
        <f>IFERROR(__xludf.DUMMYFUNCTION("GOOGLETRANSLATE(K209,""en"",""ml"")"),"ടൂറിസ്റ്റ് ബസ് പാർക്കിംഗ് ബസുകൾക്കും വലിയ വാഹനങ്ങൾക്കും വേണ്ടിയുള്ളതാണ്. ഇത് ഗ്രൂപ്പ് യാത്രാ ഗതാഗതം നിയന്ത്രിക്കാൻ സഹായിക്കുന്നു. പ്രവേശനം ബസുകൾക്ക് മാത്രമായി പരിമിതപ്പെടുത്തിയിരിക്കുന്നു.")</f>
        <v>ടൂറിസ്റ്റ് ബസ് പാർക്കിംഗ് ബസുകൾക്കും വലിയ വാഹനങ്ങൾക്കും വേണ്ടിയുള്ളതാണ്. ഇത് ഗ്രൂപ്പ് യാത്രാ ഗതാഗതം നിയന്ത്രിക്കാൻ സഹായിക്കുന്നു. പ്രവേശനം ബസുകൾക്ക് മാത്രമായി പരിമിതപ്പെടുത്തിയിരിക്കുന്നു.</v>
      </c>
    </row>
    <row r="210">
      <c r="A210" s="6">
        <f t="shared" si="1"/>
        <v>209</v>
      </c>
      <c r="B210" s="6" t="s">
        <v>729</v>
      </c>
      <c r="C210" s="6">
        <v>16.0736827</v>
      </c>
      <c r="D210" s="6">
        <v>78.869592</v>
      </c>
      <c r="E210" s="5" t="s">
        <v>668</v>
      </c>
      <c r="F210" s="8" t="s">
        <v>730</v>
      </c>
      <c r="G210" s="8" t="s">
        <v>731</v>
      </c>
      <c r="H210" s="10" t="str">
        <f>IFERROR(__xludf.DUMMYFUNCTION("GOOGLETRANSLATE(B210,""en"",""ta"")"),"டிக்கெட் கவுண்டர்கள்")</f>
        <v>டிக்கெட் கவுண்டர்கள்</v>
      </c>
      <c r="I210" s="10" t="str">
        <f>IFERROR(__xludf.DUMMYFUNCTION("GOOGLETRANSLATE(B210,""en"",""kn"")"),"ಟಿಕೆಟ್ ಕೌಂಟರ್‌ಗಳು")</f>
        <v>ಟಿಕೆಟ್ ಕೌಂಟರ್‌ಗಳು</v>
      </c>
      <c r="J210" s="10" t="str">
        <f>IFERROR(__xludf.DUMMYFUNCTION("GOOGLETRANSLATE(B210,""en"",""ml"")"),"ടിക്കറ്റ് കൗണ്ടറുകൾ")</f>
        <v>ടിക്കറ്റ് കൗണ്ടറുകൾ</v>
      </c>
      <c r="K210" s="12" t="s">
        <v>732</v>
      </c>
      <c r="L210" s="10" t="str">
        <f>IFERROR(__xludf.DUMMYFUNCTION("GOOGLETRANSLATE(K210,""en"",""te"")"),"టికెట్ కౌంటర్లు ఎంట్రీ లేదా సర్వీస్ టిక్కెట్లను జారీ చేయడానికి ఉపయోగించబడతాయి. అవి సందర్శకుల రద్దీని నిర్వహించడానికి సహాయపడతాయి. కౌంటర్లు నిర్ణీత సమయాల్లో పనిచేస్తాయి.")</f>
        <v>టికెట్ కౌంటర్లు ఎంట్రీ లేదా సర్వీస్ టిక్కెట్లను జారీ చేయడానికి ఉపయోగించబడతాయి. అవి సందర్శకుల రద్దీని నిర్వహించడానికి సహాయపడతాయి. కౌంటర్లు నిర్ణీత సమయాల్లో పనిచేస్తాయి.</v>
      </c>
      <c r="M210" s="10" t="str">
        <f>IFERROR(__xludf.DUMMYFUNCTION("GOOGLETRANSLATE(K210,""en"",""hi"")"),"प्रवेश या सेवा टिकट जारी करने के लिए टिकट काउंटर का उपयोग किया जाता है। ये काउंटर आगंतुकों की आवाजाही को नियंत्रित करने में सहायक होते हैं। काउंटर निर्धारित समय के दौरान संचालित होते हैं।")</f>
        <v>प्रवेश या सेवा टिकट जारी करने के लिए टिकट काउंटर का उपयोग किया जाता है। ये काउंटर आगंतुकों की आवाजाही को नियंत्रित करने में सहायक होते हैं। काउंटर निर्धारित समय के दौरान संचालित होते हैं।</v>
      </c>
      <c r="N210" s="10" t="str">
        <f>IFERROR(__xludf.DUMMYFUNCTION("GOOGLETRANSLATE(K210,""en"",""ta"")"),"நுழைவு அல்லது சேவை டிக்கெட்டுகளை வழங்க டிக்கெட் கவுண்டர்கள் பயன்படுத்தப்படுகின்றன. அவை பார்வையாளர் ஓட்டத்தை நிர்வகிக்க உதவுகின்றன. கவுண்டர்கள் குறிப்பிட்ட நேரங்களில் செயல்படும்.")</f>
        <v>நுழைவு அல்லது சேவை டிக்கெட்டுகளை வழங்க டிக்கெட் கவுண்டர்கள் பயன்படுத்தப்படுகின்றன. அவை பார்வையாளர் ஓட்டத்தை நிர்வகிக்க உதவுகின்றன. கவுண்டர்கள் குறிப்பிட்ட நேரங்களில் செயல்படும்.</v>
      </c>
      <c r="O210" s="10" t="str">
        <f>IFERROR(__xludf.DUMMYFUNCTION("GOOGLETRANSLATE(K210,""en"",""kn"")"),"ಪ್ರವೇಶ ಅಥವಾ ಸೇವಾ ಟಿಕೆಟ್‌ಗಳನ್ನು ನೀಡಲು ಟಿಕೆಟ್ ಕೌಂಟರ್‌ಗಳನ್ನು ಬಳಸಲಾಗುತ್ತದೆ. ಅವು ಸಂದರ್ಶಕರ ಹರಿವನ್ನು ನಿರ್ವಹಿಸಲು ಸಹಾಯ ಮಾಡುತ್ತವೆ. ಕೌಂಟರ್‌ಗಳು ನಿಗದಿತ ಸಮಯದಲ್ಲಿ ಕಾರ್ಯನಿರ್ವಹಿಸುತ್ತವೆ.")</f>
        <v>ಪ್ರವೇಶ ಅಥವಾ ಸೇವಾ ಟಿಕೆಟ್‌ಗಳನ್ನು ನೀಡಲು ಟಿಕೆಟ್ ಕೌಂಟರ್‌ಗಳನ್ನು ಬಳಸಲಾಗುತ್ತದೆ. ಅವು ಸಂದರ್ಶಕರ ಹರಿವನ್ನು ನಿರ್ವಹಿಸಲು ಸಹಾಯ ಮಾಡುತ್ತವೆ. ಕೌಂಟರ್‌ಗಳು ನಿಗದಿತ ಸಮಯದಲ್ಲಿ ಕಾರ್ಯನಿರ್ವಹಿಸುತ್ತವೆ.</v>
      </c>
      <c r="P210" s="10" t="str">
        <f>IFERROR(__xludf.DUMMYFUNCTION("GOOGLETRANSLATE(K210,""en"",""ml"")"),"പ്രവേശന ടിക്കറ്റുകൾ അല്ലെങ്കിൽ സർവീസ് ടിക്കറ്റുകൾ നൽകുന്നതിന് ടിക്കറ്റ് കൗണ്ടറുകൾ ഉപയോഗിക്കുന്നു. സന്ദർശകരുടെ ഒഴുക്ക് നിയന്ത്രിക്കാൻ അവ സഹായിക്കുന്നു. നിശ്ചിത സമയങ്ങളിൽ കൗണ്ടറുകൾ പ്രവർത്തിക്കുന്നു.")</f>
        <v>പ്രവേശന ടിക്കറ്റുകൾ അല്ലെങ്കിൽ സർവീസ് ടിക്കറ്റുകൾ നൽകുന്നതിന് ടിക്കറ്റ് കൗണ്ടറുകൾ ഉപയോഗിക്കുന്നു. സന്ദർശകരുടെ ഒഴുക്ക് നിയന്ത്രിക്കാൻ അവ സഹായിക്കുന്നു. നിശ്ചിത സമയങ്ങളിൽ കൗണ്ടറുകൾ പ്രവർത്തിക്കുന്നു.</v>
      </c>
    </row>
    <row r="211">
      <c r="A211" s="6">
        <f t="shared" si="1"/>
        <v>210</v>
      </c>
      <c r="B211" s="6" t="s">
        <v>733</v>
      </c>
      <c r="C211" s="6">
        <v>16.0727871</v>
      </c>
      <c r="D211" s="6">
        <v>78.8667628</v>
      </c>
      <c r="E211" s="5" t="s">
        <v>668</v>
      </c>
      <c r="F211" s="8" t="s">
        <v>734</v>
      </c>
      <c r="G211" s="10" t="str">
        <f>IFERROR(__xludf.DUMMYFUNCTION("GOOGLETRANSLATE(B211,""en"",""hi"")"),"प्रसाद काउंटर, श्रीशैलम")</f>
        <v>प्रसाद काउंटर, श्रीशैलम</v>
      </c>
      <c r="H211" s="10" t="str">
        <f>IFERROR(__xludf.DUMMYFUNCTION("GOOGLETRANSLATE(B211,""en"",""ta"")"),"பிரசாத கவுண்டர்கள், ஸ்ரீசைலம்")</f>
        <v>பிரசாத கவுண்டர்கள், ஸ்ரீசைலம்</v>
      </c>
      <c r="I211" s="10" t="str">
        <f>IFERROR(__xludf.DUMMYFUNCTION("GOOGLETRANSLATE(B211,""en"",""kn"")"),"ಪ್ರಸಾದ ಕೌಂಟರ್‌ಗಳು, ಶ್ರೀಶೈಲಂ")</f>
        <v>ಪ್ರಸಾದ ಕೌಂಟರ್‌ಗಳು, ಶ್ರೀಶೈಲಂ</v>
      </c>
      <c r="J211" s="10" t="str">
        <f>IFERROR(__xludf.DUMMYFUNCTION("GOOGLETRANSLATE(B211,""en"",""ml"")"),"പ്രസാദം കൗണ്ടറുകൾ, ശ്രീശൈലം")</f>
        <v>പ്രസാദം കൗണ്ടറുകൾ, ശ്രീശൈലം</v>
      </c>
      <c r="K211" s="12" t="s">
        <v>735</v>
      </c>
      <c r="L211" s="10" t="str">
        <f>IFERROR(__xludf.DUMMYFUNCTION("GOOGLETRANSLATE(K211,""en"",""te"")"),"ప్రసాద కౌంటర్లు భక్తులకు ఆలయ ప్రసాదాన్ని పంపిణీ చేస్తాయి. సేవలను ఆలయ అధికారులు నిర్వహిస్తారు. ప్రతిరోజూ సమయాలు నిర్ణయించబడతాయి.")</f>
        <v>ప్రసాద కౌంటర్లు భక్తులకు ఆలయ ప్రసాదాన్ని పంపిణీ చేస్తాయి. సేవలను ఆలయ అధికారులు నిర్వహిస్తారు. ప్రతిరోజూ సమయాలు నిర్ణయించబడతాయి.</v>
      </c>
      <c r="M211" s="10" t="str">
        <f>IFERROR(__xludf.DUMMYFUNCTION("GOOGLETRANSLATE(K211,""en"",""hi"")"),"प्रसाद वितरण केंद्र भक्तों को मंदिर का प्रसाद वितरित करते हैं। यह सेवा मंदिर अधिकारियों द्वारा संचालित की जाती है। समय प्रतिदिन निर्धारित है।")</f>
        <v>प्रसाद वितरण केंद्र भक्तों को मंदिर का प्रसाद वितरित करते हैं। यह सेवा मंदिर अधिकारियों द्वारा संचालित की जाती है। समय प्रतिदिन निर्धारित है।</v>
      </c>
      <c r="N211" s="10" t="str">
        <f>IFERROR(__xludf.DUMMYFUNCTION("GOOGLETRANSLATE(K211,""en"",""ta"")"),"பிரசாத கவுண்டர்கள் பக்தர்களுக்கு கோயில் பிரசாதத்தை விநியோகிக்கின்றன. சேவை கோயில் அதிகாரிகளால் நிர்வகிக்கப்படுகிறது. நேரங்கள் தினமும் நிர்ணயிக்கப்படுகின்றன.")</f>
        <v>பிரசாத கவுண்டர்கள் பக்தர்களுக்கு கோயில் பிரசாதத்தை விநியோகிக்கின்றன. சேவை கோயில் அதிகாரிகளால் நிர்வகிக்கப்படுகிறது. நேரங்கள் தினமும் நிர்ணயிக்கப்படுகின்றன.</v>
      </c>
      <c r="O211" s="10" t="str">
        <f>IFERROR(__xludf.DUMMYFUNCTION("GOOGLETRANSLATE(K211,""en"",""kn"")"),"ಪ್ರಸಾದ ಕೌಂಟರ್‌ಗಳು ಭಕ್ತರಿಗೆ ದೇವಾಲಯದ ಪ್ರಸಾದವನ್ನು ವಿತರಿಸುತ್ತವೆ. ಸೇವೆಯನ್ನು ದೇವಾಲಯದ ಅಧಿಕಾರಿಗಳು ನಿರ್ವಹಿಸುತ್ತಾರೆ. ಸಮಯವನ್ನು ಪ್ರತಿದಿನ ನಿಗದಿಪಡಿಸಲಾಗುತ್ತದೆ.")</f>
        <v>ಪ್ರಸಾದ ಕೌಂಟರ್‌ಗಳು ಭಕ್ತರಿಗೆ ದೇವಾಲಯದ ಪ್ರಸಾದವನ್ನು ವಿತರಿಸುತ್ತವೆ. ಸೇವೆಯನ್ನು ದೇವಾಲಯದ ಅಧಿಕಾರಿಗಳು ನಿರ್ವಹಿಸುತ್ತಾರೆ. ಸಮಯವನ್ನು ಪ್ರತಿದಿನ ನಿಗದಿಪಡಿಸಲಾಗುತ್ತದೆ.</v>
      </c>
      <c r="P211" s="10" t="str">
        <f>IFERROR(__xludf.DUMMYFUNCTION("GOOGLETRANSLATE(K211,""en"",""ml"")"),"ക്ഷേത്ര പ്രസാദ കൗണ്ടറുകൾ ഭക്തർക്ക് പ്രസാദം വിതരണം ചെയ്യുന്നു. ക്ഷേത്ര അധികാരികളാണ് സേവനങ്ങൾ നിയന്ത്രിക്കുന്നത്. ദിവസേന സമയക്രമം നിശ്ചയിച്ചിട്ടുണ്ട്.")</f>
        <v>ക്ഷേത്ര പ്രസാദ കൗണ്ടറുകൾ ഭക്തർക്ക് പ്രസാദം വിതരണം ചെയ്യുന്നു. ക്ഷേത്ര അധികാരികളാണ് സേവനങ്ങൾ നിയന്ത്രിക്കുന്നത്. ദിവസേന സമയക്രമം നിശ്ചയിച്ചിട്ടുണ്ട്.</v>
      </c>
    </row>
    <row r="212">
      <c r="A212" s="6">
        <f t="shared" si="1"/>
        <v>211</v>
      </c>
      <c r="B212" s="6" t="s">
        <v>736</v>
      </c>
      <c r="C212" s="6">
        <v>16.0768296</v>
      </c>
      <c r="D212" s="6">
        <v>78.8755226</v>
      </c>
      <c r="E212" s="5" t="s">
        <v>668</v>
      </c>
      <c r="F212" s="8" t="s">
        <v>737</v>
      </c>
      <c r="G212" s="8" t="s">
        <v>738</v>
      </c>
      <c r="H212" s="10" t="str">
        <f>IFERROR(__xludf.DUMMYFUNCTION("GOOGLETRANSLATE(B212,""en"",""ta"")"),"சாக்ஷி கணபதி ஆன்லைன் டிக்கெட் முன்பதிவு கவுண்டர்")</f>
        <v>சாக்ஷி கணபதி ஆன்லைன் டிக்கெட் முன்பதிவு கவுண்டர்</v>
      </c>
      <c r="I212" s="10" t="str">
        <f>IFERROR(__xludf.DUMMYFUNCTION("GOOGLETRANSLATE(B212,""en"",""kn"")"),"ಸಾಕ್ಷಿ ಗಣಪತಿ ಆನ್‌ಲೈನ್ ಟಿಕೆಟ್ ಬುಕಿಂಗ್ ಕೌಂಟರ್")</f>
        <v>ಸಾಕ್ಷಿ ಗಣಪತಿ ಆನ್‌ಲೈನ್ ಟಿಕೆಟ್ ಬುಕಿಂಗ್ ಕೌಂಟರ್</v>
      </c>
      <c r="J212" s="10" t="str">
        <f>IFERROR(__xludf.DUMMYFUNCTION("GOOGLETRANSLATE(B212,""en"",""ml"")"),"സാക്ഷി ഗണപതി ഓൺലൈൻ ടിക്കറ്റ് ബുക്കിംഗ് കൗണ്ടർ")</f>
        <v>സാക്ഷി ഗണപതി ഓൺലൈൻ ടിക്കറ്റ് ബുക്കിംഗ് കൗണ്ടർ</v>
      </c>
      <c r="K212" s="12" t="s">
        <v>739</v>
      </c>
      <c r="L212" s="10" t="str">
        <f>IFERROR(__xludf.DUMMYFUNCTION("GOOGLETRANSLATE(K212,""en"",""te"")"),"ఈ కౌంటర్ సందర్శకులకు ఆన్‌లైన్ టికెట్ బుకింగ్‌లకు సహాయపడుతుంది. డిజిటల్ వ్యవస్థలతో పరిచయం లేని వారికి ఇది సహాయపడుతుంది. నిర్ణీత సమయాల్లో పనిచేస్తుంది.")</f>
        <v>ఈ కౌంటర్ సందర్శకులకు ఆన్‌లైన్ టికెట్ బుకింగ్‌లకు సహాయపడుతుంది. డిజిటల్ వ్యవస్థలతో పరిచయం లేని వారికి ఇది సహాయపడుతుంది. నిర్ణీత సమయాల్లో పనిచేస్తుంది.</v>
      </c>
      <c r="M212" s="10" t="str">
        <f>IFERROR(__xludf.DUMMYFUNCTION("GOOGLETRANSLATE(K212,""en"",""hi"")"),"यह काउंटर आगंतुकों को ऑनलाइन टिकट बुकिंग में सहायता प्रदान करता है। यह उन लोगों के लिए मददगार है जो डिजिटल सिस्टम से परिचित नहीं हैं। यह निर्धारित समय के दौरान खुला रहता है।")</f>
        <v>यह काउंटर आगंतुकों को ऑनलाइन टिकट बुकिंग में सहायता प्रदान करता है। यह उन लोगों के लिए मददगार है जो डिजिटल सिस्टम से परिचित नहीं हैं। यह निर्धारित समय के दौरान खुला रहता है।</v>
      </c>
      <c r="N212" s="10" t="str">
        <f>IFERROR(__xludf.DUMMYFUNCTION("GOOGLETRANSLATE(K212,""en"",""ta"")"),"இந்த கவுண்டர் பார்வையாளர்களுக்கு ஆன்லைன் டிக்கெட் முன்பதிவுகளுக்கு உதவுகிறது. டிஜிட்டல் அமைப்புகளைப் பற்றி அறிமுகமில்லாதவர்களுக்கு இது உதவுகிறது. நிர்ணயிக்கப்பட்ட நேரங்களில் செயல்படும்.")</f>
        <v>இந்த கவுண்டர் பார்வையாளர்களுக்கு ஆன்லைன் டிக்கெட் முன்பதிவுகளுக்கு உதவுகிறது. டிஜிட்டல் அமைப்புகளைப் பற்றி அறிமுகமில்லாதவர்களுக்கு இது உதவுகிறது. நிர்ணயிக்கப்பட்ட நேரங்களில் செயல்படும்.</v>
      </c>
      <c r="O212" s="10" t="str">
        <f>IFERROR(__xludf.DUMMYFUNCTION("GOOGLETRANSLATE(K212,""en"",""kn"")"),"ಈ ಕೌಂಟರ್ ಸಂದರ್ಶಕರಿಗೆ ಆನ್‌ಲೈನ್ ಟಿಕೆಟ್ ಬುಕಿಂಗ್‌ಗೆ ಸಹಾಯ ಮಾಡುತ್ತದೆ. ಡಿಜಿಟಲ್ ವ್ಯವಸ್ಥೆಗಳ ಪರಿಚಯವಿಲ್ಲದವರಿಗೆ ಇದು ಸಹಾಯ ಮಾಡುತ್ತದೆ. ನಿಗದಿತ ಸಮಯದಲ್ಲಿ ಕಾರ್ಯನಿರ್ವಹಿಸುತ್ತದೆ.")</f>
        <v>ಈ ಕೌಂಟರ್ ಸಂದರ್ಶಕರಿಗೆ ಆನ್‌ಲೈನ್ ಟಿಕೆಟ್ ಬುಕಿಂಗ್‌ಗೆ ಸಹಾಯ ಮಾಡುತ್ತದೆ. ಡಿಜಿಟಲ್ ವ್ಯವಸ್ಥೆಗಳ ಪರಿಚಯವಿಲ್ಲದವರಿಗೆ ಇದು ಸಹಾಯ ಮಾಡುತ್ತದೆ. ನಿಗದಿತ ಸಮಯದಲ್ಲಿ ಕಾರ್ಯನಿರ್ವಹಿಸುತ್ತದೆ.</v>
      </c>
      <c r="P212" s="10" t="str">
        <f>IFERROR(__xludf.DUMMYFUNCTION("GOOGLETRANSLATE(K212,""en"",""ml"")"),"ഓൺലൈൻ ടിക്കറ്റ് ബുക്കിംഗുകളിൽ സന്ദർശകരെ സഹായിക്കുന്നതിനാണ് ഈ കൗണ്ടർ. ഡിജിറ്റൽ സംവിധാനങ്ങളെക്കുറിച്ച് പരിചയമില്ലാത്തവർക്ക് ഇത് സഹായകമാകും. നിശ്ചിത സമയങ്ങളിൽ പ്രവർത്തിക്കും.")</f>
        <v>ഓൺലൈൻ ടിക്കറ്റ് ബുക്കിംഗുകളിൽ സന്ദർശകരെ സഹായിക്കുന്നതിനാണ് ഈ കൗണ്ടർ. ഡിജിറ്റൽ സംവിധാനങ്ങളെക്കുറിച്ച് പരിചയമില്ലാത്തവർക്ക് ഇത് സഹായകമാകും. നിശ്ചിത സമയങ്ങളിൽ പ്രവർത്തിക്കും.</v>
      </c>
    </row>
    <row r="213">
      <c r="A213" s="6">
        <f t="shared" si="1"/>
        <v>212</v>
      </c>
      <c r="B213" s="6" t="s">
        <v>740</v>
      </c>
      <c r="C213" s="6">
        <v>16.0768087</v>
      </c>
      <c r="D213" s="6">
        <v>78.8759629</v>
      </c>
      <c r="E213" s="5" t="s">
        <v>668</v>
      </c>
      <c r="F213" s="11" t="str">
        <f>IFERROR(__xludf.DUMMYFUNCTION("GOOGLETRANSLATE(B213,""en"",""te"")"),"కళ్యాణ కట్ట")</f>
        <v>కళ్యాణ కట్ట</v>
      </c>
      <c r="G213" s="10" t="str">
        <f>IFERROR(__xludf.DUMMYFUNCTION("GOOGLETRANSLATE(B213,""en"",""hi"")"),"कल्याणा कट्टा")</f>
        <v>कल्याणा कट्टा</v>
      </c>
      <c r="H213" s="10" t="str">
        <f>IFERROR(__xludf.DUMMYFUNCTION("GOOGLETRANSLATE(B213,""en"",""ta"")"),"கல்யாண கட்டா")</f>
        <v>கல்யாண கட்டா</v>
      </c>
      <c r="I213" s="10" t="str">
        <f>IFERROR(__xludf.DUMMYFUNCTION("GOOGLETRANSLATE(B213,""en"",""kn"")"),"ಕಲ್ಯಾಣ ಕಟ್ಟಾ")</f>
        <v>ಕಲ್ಯಾಣ ಕಟ್ಟಾ</v>
      </c>
      <c r="J213" s="10" t="str">
        <f>IFERROR(__xludf.DUMMYFUNCTION("GOOGLETRANSLATE(B213,""en"",""ml"")"),"കല്യാണ കട്ട")</f>
        <v>കല്യാണ കട്ട</v>
      </c>
      <c r="K213" s="12" t="s">
        <v>741</v>
      </c>
      <c r="L213" s="10" t="str">
        <f>IFERROR(__xludf.DUMMYFUNCTION("GOOGLETRANSLATE(K213,""en"",""te"")"),"కల్యాణ కట్ట అనేది జుట్టు రాలడం ఆచారాలకు ఒక సౌకర్యం. ఇది వ్యవస్థీకృత మరియు పరిశుభ్రమైన సేవలను అందిస్తుంది. ప్రత్యేక ప్రాంతాలు అందుబాటులో ఉండవచ్చు. సమయాలు నియంత్రించబడతాయి.")</f>
        <v>కల్యాణ కట్ట అనేది జుట్టు రాలడం ఆచారాలకు ఒక సౌకర్యం. ఇది వ్యవస్థీకృత మరియు పరిశుభ్రమైన సేవలను అందిస్తుంది. ప్రత్యేక ప్రాంతాలు అందుబాటులో ఉండవచ్చు. సమయాలు నియంత్రించబడతాయి.</v>
      </c>
      <c r="M213" s="10" t="str">
        <f>IFERROR(__xludf.DUMMYFUNCTION("GOOGLETRANSLATE(K213,""en"",""hi"")"),"कल्याणा कट्टा एक ऐसा केंद्र है जहाँ बाल मुंडवाने की रस्में निभाई जाती हैं। यहाँ व्यवस्थित और स्वच्छ सेवाएं प्रदान की जाती हैं। अलग-अलग क्षेत्र उपलब्ध हो सकते हैं। समय निर्धारित है।")</f>
        <v>कल्याणा कट्टा एक ऐसा केंद्र है जहाँ बाल मुंडवाने की रस्में निभाई जाती हैं। यहाँ व्यवस्थित और स्वच्छ सेवाएं प्रदान की जाती हैं। अलग-अलग क्षेत्र उपलब्ध हो सकते हैं। समय निर्धारित है।</v>
      </c>
      <c r="N213" s="10" t="str">
        <f>IFERROR(__xludf.DUMMYFUNCTION("GOOGLETRANSLATE(K213,""en"",""ta"")"),"கல்யாண கட்டா என்பது முடி வெட்டும் சடங்குகளுக்கான ஒரு வசதி. இது ஒழுங்கமைக்கப்பட்ட மற்றும் சுகாதாரமான சேவைகளை வழங்குகிறது. தனி பகுதிகள் கிடைக்கலாம். நேரங்கள் ஒழுங்குபடுத்தப்பட்டுள்ளன.")</f>
        <v>கல்யாண கட்டா என்பது முடி வெட்டும் சடங்குகளுக்கான ஒரு வசதி. இது ஒழுங்கமைக்கப்பட்ட மற்றும் சுகாதாரமான சேவைகளை வழங்குகிறது. தனி பகுதிகள் கிடைக்கலாம். நேரங்கள் ஒழுங்குபடுத்தப்பட்டுள்ளன.</v>
      </c>
      <c r="O213" s="10" t="str">
        <f>IFERROR(__xludf.DUMMYFUNCTION("GOOGLETRANSLATE(K213,""en"",""kn"")"),"ಕಲ್ಯಾಣ ಕಟ್ಟಾ ಕೂದಲು ಕತ್ತರಿಸುವ ಆಚರಣೆಗಳಿಗೆ ಒಂದು ಸೌಲಭ್ಯವಾಗಿದೆ. ಇದು ಸಂಘಟಿತ ಮತ್ತು ನೈರ್ಮಲ್ಯ ಸೇವೆಗಳನ್ನು ಒದಗಿಸುತ್ತದೆ. ಪ್ರತ್ಯೇಕ ಪ್ರದೇಶಗಳು ಲಭ್ಯವಿರಬಹುದು. ಸಮಯಗಳನ್ನು ನಿಯಂತ್ರಿಸಲಾಗುತ್ತದೆ.")</f>
        <v>ಕಲ್ಯಾಣ ಕಟ್ಟಾ ಕೂದಲು ಕತ್ತರಿಸುವ ಆಚರಣೆಗಳಿಗೆ ಒಂದು ಸೌಲಭ್ಯವಾಗಿದೆ. ಇದು ಸಂಘಟಿತ ಮತ್ತು ನೈರ್ಮಲ್ಯ ಸೇವೆಗಳನ್ನು ಒದಗಿಸುತ್ತದೆ. ಪ್ರತ್ಯೇಕ ಪ್ರದೇಶಗಳು ಲಭ್ಯವಿರಬಹುದು. ಸಮಯಗಳನ್ನು ನಿಯಂತ್ರಿಸಲಾಗುತ್ತದೆ.</v>
      </c>
      <c r="P213" s="10" t="str">
        <f>IFERROR(__xludf.DUMMYFUNCTION("GOOGLETRANSLATE(K213,""en"",""ml"")"),"കല്യാണ കട്ട എന്നത് മുടി മുറിക്കൽ ചടങ്ങുകൾക്കുള്ള ഒരു സൗകര്യമാണ്. ഇത് സംഘടിതവും ശുചിത്വവുമുള്ള സേവനങ്ങൾ നൽകുന്നു. പ്രത്യേക സ്ഥലങ്ങൾ ലഭ്യമായേക്കാം. സമയക്രമീകരണങ്ങൾ ഉണ്ട്.")</f>
        <v>കല്യാണ കട്ട എന്നത് മുടി മുറിക്കൽ ചടങ്ങുകൾക്കുള്ള ഒരു സൗകര്യമാണ്. ഇത് സംഘടിതവും ശുചിത്വവുമുള്ള സേവനങ്ങൾ നൽകുന്നു. പ്രത്യേക സ്ഥലങ്ങൾ ലഭ്യമായേക്കാം. സമയക്രമീകരണങ്ങൾ ഉണ്ട്.</v>
      </c>
    </row>
    <row r="214">
      <c r="A214" s="6">
        <f t="shared" si="1"/>
        <v>213</v>
      </c>
      <c r="B214" s="6" t="s">
        <v>742</v>
      </c>
      <c r="C214" s="6">
        <v>16.07351</v>
      </c>
      <c r="D214" s="6">
        <v>78.8694904</v>
      </c>
      <c r="E214" s="5" t="s">
        <v>668</v>
      </c>
      <c r="F214" s="8" t="s">
        <v>743</v>
      </c>
      <c r="G214" s="8" t="s">
        <v>744</v>
      </c>
      <c r="H214" s="10" t="str">
        <f>IFERROR(__xludf.DUMMYFUNCTION("GOOGLETRANSLATE(B214,""en"",""ta"")"),"ஸ்ரீசைலம் தேவஸ்தான கேமரா மற்றும் தொலைபேசி வைக்கும் அறை")</f>
        <v>ஸ்ரீசைலம் தேவஸ்தான கேமரா மற்றும் தொலைபேசி வைக்கும் அறை</v>
      </c>
      <c r="I214" s="10" t="str">
        <f>IFERROR(__xludf.DUMMYFUNCTION("GOOGLETRANSLATE(B214,""en"",""kn"")"),"ಶ್ರೀಶೈಲಂ ದೇವಸ್ಥಾನಂ ಕ್ಯಾಮೆರಾ ಮತ್ತು ಫೋನ್ ಕೀಪಿಂಗ್ ಕೊಠಡಿ")</f>
        <v>ಶ್ರೀಶೈಲಂ ದೇವಸ್ಥಾನಂ ಕ್ಯಾಮೆರಾ ಮತ್ತು ಫೋನ್ ಕೀಪಿಂಗ್ ಕೊಠಡಿ</v>
      </c>
      <c r="J214" s="10" t="str">
        <f>IFERROR(__xludf.DUMMYFUNCTION("GOOGLETRANSLATE(B214,""en"",""ml"")"),"ശ്രീശൈലം ദേവസ്ഥാനം ക്യാമറയും ഫോൺ സൂക്ഷിക്കാനുള്ള മുറിയും")</f>
        <v>ശ്രീശൈലം ദേവസ്ഥാനം ക്യാമറയും ഫോൺ സൂക്ഷിക്കാനുള്ള മുറിയും</v>
      </c>
      <c r="K214" s="12" t="s">
        <v>745</v>
      </c>
      <c r="L214" s="10" t="str">
        <f>IFERROR(__xludf.DUMMYFUNCTION("GOOGLETRANSLATE(K214,""en"",""te"")"),"ఈ సౌకర్యం సందర్శకులు కెమెరాలు మరియు మొబైల్ ఫోన్‌లను డిపాజిట్ చేయడానికి అనుమతిస్తుంది. ఇది ఆలయ భద్రతా నియమాలను పాటించడంలో సహాయపడుతుంది. బయటకు వచ్చిన తర్వాత వస్తువులను తిరిగి ఇస్తారు. టోకెన్‌లతో లాకర్లు జారీ చేయబడతాయి.")</f>
        <v>ఈ సౌకర్యం సందర్శకులు కెమెరాలు మరియు మొబైల్ ఫోన్‌లను డిపాజిట్ చేయడానికి అనుమతిస్తుంది. ఇది ఆలయ భద్రతా నియమాలను పాటించడంలో సహాయపడుతుంది. బయటకు వచ్చిన తర్వాత వస్తువులను తిరిగి ఇస్తారు. టోకెన్‌లతో లాకర్లు జారీ చేయబడతాయి.</v>
      </c>
      <c r="M214" s="10" t="str">
        <f>IFERROR(__xludf.DUMMYFUNCTION("GOOGLETRANSLATE(K214,""en"",""hi"")"),"इस सुविधा के तहत आगंतुक अपने कैमरे और मोबाइल फोन जमा कर सकते हैं। इससे मंदिर की सुरक्षा व्यवस्था बनाए रखने में मदद मिलती है। मंदिर से बाहर निकलने के बाद सामान वापस कर दिया जाता है। लॉकर टोकन के साथ जारी किए जाते हैं।")</f>
        <v>इस सुविधा के तहत आगंतुक अपने कैमरे और मोबाइल फोन जमा कर सकते हैं। इससे मंदिर की सुरक्षा व्यवस्था बनाए रखने में मदद मिलती है। मंदिर से बाहर निकलने के बाद सामान वापस कर दिया जाता है। लॉकर टोकन के साथ जारी किए जाते हैं।</v>
      </c>
      <c r="N214" s="10" t="str">
        <f>IFERROR(__xludf.DUMMYFUNCTION("GOOGLETRANSLATE(K214,""en"",""ta"")"),"இந்த வசதி பார்வையாளர்கள் கேமராக்கள் மற்றும் மொபைல் போன்களை டெபாசிட் செய்ய அனுமதிக்கிறது. இது கோயில் பாதுகாப்பு விதிகளைப் பராமரிக்க உதவுகிறது. பொருட்கள் வெளியே வந்த பிறகு திருப்பித் தரப்படும். டோக்கன்களுடன் கூடிய லாக்கர்கள் வழங்கப்படுகின்றன.")</f>
        <v>இந்த வசதி பார்வையாளர்கள் கேமராக்கள் மற்றும் மொபைல் போன்களை டெபாசிட் செய்ய அனுமதிக்கிறது. இது கோயில் பாதுகாப்பு விதிகளைப் பராமரிக்க உதவுகிறது. பொருட்கள் வெளியே வந்த பிறகு திருப்பித் தரப்படும். டோக்கன்களுடன் கூடிய லாக்கர்கள் வழங்கப்படுகின்றன.</v>
      </c>
      <c r="O214" s="10" t="str">
        <f>IFERROR(__xludf.DUMMYFUNCTION("GOOGLETRANSLATE(K214,""en"",""kn"")"),"ಈ ಸೌಲಭ್ಯವು ಸಂದರ್ಶಕರಿಗೆ ಕ್ಯಾಮೆರಾಗಳು ಮತ್ತು ಮೊಬೈಲ್ ಫೋನ್‌ಗಳನ್ನು ಠೇವಣಿ ಇಡಲು ಅನುವು ಮಾಡಿಕೊಡುತ್ತದೆ. ಇದು ದೇವಾಲಯದ ಭದ್ರತಾ ನಿಯಮಗಳನ್ನು ಕಾಪಾಡಿಕೊಳ್ಳಲು ಸಹಾಯ ಮಾಡುತ್ತದೆ. ವಸ್ತುಗಳನ್ನು ನಿರ್ಗಮಿಸಿದ ನಂತರ ಹಿಂತಿರುಗಿಸಲಾಗುತ್ತದೆ. ಲಾಕರ್‌ಗಳಿಗೆ ಟೋಕನ್‌ಗಳನ್ನು ನೀಡಲಾಗುತ್ತದೆ.")</f>
        <v>ಈ ಸೌಲಭ್ಯವು ಸಂದರ್ಶಕರಿಗೆ ಕ್ಯಾಮೆರಾಗಳು ಮತ್ತು ಮೊಬೈಲ್ ಫೋನ್‌ಗಳನ್ನು ಠೇವಣಿ ಇಡಲು ಅನುವು ಮಾಡಿಕೊಡುತ್ತದೆ. ಇದು ದೇವಾಲಯದ ಭದ್ರತಾ ನಿಯಮಗಳನ್ನು ಕಾಪಾಡಿಕೊಳ್ಳಲು ಸಹಾಯ ಮಾಡುತ್ತದೆ. ವಸ್ತುಗಳನ್ನು ನಿರ್ಗಮಿಸಿದ ನಂತರ ಹಿಂತಿರುಗಿಸಲಾಗುತ್ತದೆ. ಲಾಕರ್‌ಗಳಿಗೆ ಟೋಕನ್‌ಗಳನ್ನು ನೀಡಲಾಗುತ್ತದೆ.</v>
      </c>
      <c r="P214" s="10" t="str">
        <f>IFERROR(__xludf.DUMMYFUNCTION("GOOGLETRANSLATE(K214,""en"",""ml"")"),"ഈ സൗകര്യം സന്ദർശകർക്ക് ക്യാമറകളും മൊബൈൽ ഫോണുകളും നിക്ഷേപിക്കാൻ അനുവദിക്കുന്നു. ക്ഷേത്ര സുരക്ഷാ നിയമങ്ങൾ പാലിക്കാൻ ഇത് സഹായിക്കുന്നു. പുറത്തുകടന്ന ശേഷം വസ്തുക്കൾ തിരികെ നൽകും. ടോക്കണുകൾക്കൊപ്പം ലോക്കറുകൾ നൽകും.")</f>
        <v>ഈ സൗകര്യം സന്ദർശകർക്ക് ക്യാമറകളും മൊബൈൽ ഫോണുകളും നിക്ഷേപിക്കാൻ അനുവദിക്കുന്നു. ക്ഷേത്ര സുരക്ഷാ നിയമങ്ങൾ പാലിക്കാൻ ഇത് സഹായിക്കുന്നു. പുറത്തുകടന്ന ശേഷം വസ്തുക്കൾ തിരികെ നൽകും. ടോക്കണുകൾക്കൊപ്പം ലോക്കറുകൾ നൽകും.</v>
      </c>
    </row>
    <row r="215">
      <c r="A215" s="6">
        <f t="shared" si="1"/>
        <v>214</v>
      </c>
      <c r="B215" s="6" t="s">
        <v>746</v>
      </c>
      <c r="C215" s="6">
        <v>16.0724604</v>
      </c>
      <c r="D215" s="6">
        <v>78.8700253</v>
      </c>
      <c r="E215" s="5" t="s">
        <v>668</v>
      </c>
      <c r="F215" s="8" t="s">
        <v>747</v>
      </c>
      <c r="G215" s="8" t="s">
        <v>748</v>
      </c>
      <c r="H215" s="10" t="str">
        <f>IFERROR(__xludf.DUMMYFUNCTION("GOOGLETRANSLATE(B215,""en"",""ta"")"),"ஸ்ரீசைலம் தேவஸ்தான க்ளோக் ரூம் லக்கேஜ் கவுண்டர்")</f>
        <v>ஸ்ரீசைலம் தேவஸ்தான க்ளோக் ரூம் லக்கேஜ் கவுண்டர்</v>
      </c>
      <c r="I215" s="10" t="str">
        <f>IFERROR(__xludf.DUMMYFUNCTION("GOOGLETRANSLATE(B215,""en"",""kn"")"),"ಶ್ರೀಶೈಲಂ ದೇವಸ್ತಾನಂ ಕ್ಲೋಕ್ ರೂಮ್ ಲಗೇಜ್ ಕೌಂಟರ್")</f>
        <v>ಶ್ರೀಶೈಲಂ ದೇವಸ್ತಾನಂ ಕ್ಲೋಕ್ ರೂಮ್ ಲಗೇಜ್ ಕೌಂಟರ್</v>
      </c>
      <c r="J215" s="10" t="str">
        <f>IFERROR(__xludf.DUMMYFUNCTION("GOOGLETRANSLATE(B215,""en"",""ml"")"),"ശ്രീശൈലം ദേവസ്ഥാനം ക്ലോക്ക് റൂം ലഗേജ് കൗണ്ടർ")</f>
        <v>ശ്രീശൈലം ദേവസ്ഥാനം ക്ലോക്ക് റൂം ലഗേജ് കൗണ്ടർ</v>
      </c>
      <c r="K215" s="12" t="s">
        <v>749</v>
      </c>
      <c r="L215" s="10" t="str">
        <f>IFERROR(__xludf.DUMMYFUNCTION("GOOGLETRANSLATE(K215,""en"",""te"")"),"క్లోక్ రూమ్ సామాను మరియు వస్తువులను సురక్షితంగా నిల్వ చేయడానికి వీలు కల్పిస్తుంది. ఇది సందర్శకులు ఆలయ ప్రాంతాలలో స్వేచ్ఛగా తిరగడానికి సహాయపడుతుంది. నిల్వ తాత్కాలికం. సరైన రశీదులు జారీ చేయబడతాయి.")</f>
        <v>క్లోక్ రూమ్ సామాను మరియు వస్తువులను సురక్షితంగా నిల్వ చేయడానికి వీలు కల్పిస్తుంది. ఇది సందర్శకులు ఆలయ ప్రాంతాలలో స్వేచ్ఛగా తిరగడానికి సహాయపడుతుంది. నిల్వ తాత్కాలికం. సరైన రశీదులు జారీ చేయబడతాయి.</v>
      </c>
      <c r="M215" s="10" t="str">
        <f>IFERROR(__xludf.DUMMYFUNCTION("GOOGLETRANSLATE(K215,""en"",""hi"")"),"क्लोकरूम में सामान और अन्य वस्तुओं को सुरक्षित रूप से रखा जा सकता है। इससे आगंतुकों को मंदिर परिसर में आसानी से घूमने-फिरने में मदद मिलती है। सामान रखने की व्यवस्था अस्थायी है। इसके लिए उचित रसीद जारी की जाती है।")</f>
        <v>क्लोकरूम में सामान और अन्य वस्तुओं को सुरक्षित रूप से रखा जा सकता है। इससे आगंतुकों को मंदिर परिसर में आसानी से घूमने-फिरने में मदद मिलती है। सामान रखने की व्यवस्था अस्थायी है। इसके लिए उचित रसीद जारी की जाती है।</v>
      </c>
      <c r="N215" s="10" t="str">
        <f>IFERROR(__xludf.DUMMYFUNCTION("GOOGLETRANSLATE(K215,""en"",""ta"")"),"இந்த ஆடை அறை, சாமான்கள் மற்றும் பொருட்களை பாதுகாப்பாக சேமித்து வைக்க உதவுகிறது. இது கோயில் பகுதிகளுக்குள் பார்வையாளர்கள் சுதந்திரமாக செல்ல உதவுகிறது. சேமிப்பு தற்காலிகமானது. முறையான ரசீதுகள் வழங்கப்படுகின்றன.")</f>
        <v>இந்த ஆடை அறை, சாமான்கள் மற்றும் பொருட்களை பாதுகாப்பாக சேமித்து வைக்க உதவுகிறது. இது கோயில் பகுதிகளுக்குள் பார்வையாளர்கள் சுதந்திரமாக செல்ல உதவுகிறது. சேமிப்பு தற்காலிகமானது. முறையான ரசீதுகள் வழங்கப்படுகின்றன.</v>
      </c>
      <c r="O215" s="10" t="str">
        <f>IFERROR(__xludf.DUMMYFUNCTION("GOOGLETRANSLATE(K215,""en"",""kn"")"),"ಕ್ಲೋಕ್ ರೂಮ್ ಸಾಮಾನುಗಳು ಮತ್ತು ವಸ್ತುಗಳನ್ನು ಸುರಕ್ಷಿತವಾಗಿ ಸಂಗ್ರಹಿಸಲು ಸಹಾಯ ಮಾಡುತ್ತದೆ. ಇದು ದೇವಾಲಯದ ಪ್ರದೇಶಗಳಲ್ಲಿ ಸಂದರ್ಶಕರು ಮುಕ್ತವಾಗಿ ಚಲಿಸಲು ಸಹಾಯ ಮಾಡುತ್ತದೆ. ಸಂಗ್ರಹಣೆ ತಾತ್ಕಾಲಿಕವಾಗಿದೆ. ಸರಿಯಾದ ರಶೀದಿಗಳನ್ನು ನೀಡಲಾಗುತ್ತದೆ.")</f>
        <v>ಕ್ಲೋಕ್ ರೂಮ್ ಸಾಮಾನುಗಳು ಮತ್ತು ವಸ್ತುಗಳನ್ನು ಸುರಕ್ಷಿತವಾಗಿ ಸಂಗ್ರಹಿಸಲು ಸಹಾಯ ಮಾಡುತ್ತದೆ. ಇದು ದೇವಾಲಯದ ಪ್ರದೇಶಗಳಲ್ಲಿ ಸಂದರ್ಶಕರು ಮುಕ್ತವಾಗಿ ಚಲಿಸಲು ಸಹಾಯ ಮಾಡುತ್ತದೆ. ಸಂಗ್ರಹಣೆ ತಾತ್ಕಾಲಿಕವಾಗಿದೆ. ಸರಿಯಾದ ರಶೀದಿಗಳನ್ನು ನೀಡಲಾಗುತ್ತದೆ.</v>
      </c>
      <c r="P215" s="10" t="str">
        <f>IFERROR(__xludf.DUMMYFUNCTION("GOOGLETRANSLATE(K215,""en"",""ml"")"),"ലഗേജുകളും സാധനങ്ങളും സുരക്ഷിതമായി സൂക്ഷിക്കാൻ ക്ലോക്ക് റൂം സഹായിക്കുന്നു. ക്ഷേത്ര പരിസരത്ത് സന്ദർശകർക്ക് സ്വതന്ത്രമായി സഞ്ചരിക്കാൻ ഇത് സഹായിക്കുന്നു. സംഭരണം താൽക്കാലികമാണ്. ശരിയായ രസീതുകൾ നൽകും.")</f>
        <v>ലഗേജുകളും സാധനങ്ങളും സുരക്ഷിതമായി സൂക്ഷിക്കാൻ ക്ലോക്ക് റൂം സഹായിക്കുന്നു. ക്ഷേത്ര പരിസരത്ത് സന്ദർശകർക്ക് സ്വതന്ത്രമായി സഞ്ചരിക്കാൻ ഇത് സഹായിക്കുന്നു. സംഭരണം താൽക്കാലികമാണ്. ശരിയായ രസീതുകൾ നൽകും.</v>
      </c>
    </row>
    <row r="216">
      <c r="A216" s="6">
        <f t="shared" si="1"/>
        <v>215</v>
      </c>
      <c r="B216" s="6" t="s">
        <v>750</v>
      </c>
      <c r="C216" s="6">
        <v>16.0747587</v>
      </c>
      <c r="D216" s="6">
        <v>78.8686204</v>
      </c>
      <c r="E216" s="5" t="s">
        <v>668</v>
      </c>
      <c r="F216" s="11" t="str">
        <f>IFERROR(__xludf.DUMMYFUNCTION("GOOGLETRANSLATE(B216,""en"",""te"")"),"గోశాల")</f>
        <v>గోశాల</v>
      </c>
      <c r="G216" s="10" t="str">
        <f>IFERROR(__xludf.DUMMYFUNCTION("GOOGLETRANSLATE(B216,""en"",""hi"")"),"गौशाला")</f>
        <v>गौशाला</v>
      </c>
      <c r="H216" s="10" t="str">
        <f>IFERROR(__xludf.DUMMYFUNCTION("GOOGLETRANSLATE(B216,""en"",""ta"")"),"கோஷாலா")</f>
        <v>கோஷாலா</v>
      </c>
      <c r="I216" s="10" t="str">
        <f>IFERROR(__xludf.DUMMYFUNCTION("GOOGLETRANSLATE(B216,""en"",""kn"")"),"ಗೋಶಾಲ")</f>
        <v>ಗೋಶಾಲ</v>
      </c>
      <c r="J216" s="10" t="str">
        <f>IFERROR(__xludf.DUMMYFUNCTION("GOOGLETRANSLATE(B216,""en"",""ml"")"),"ഗോശാല")</f>
        <v>ഗോശാല</v>
      </c>
      <c r="K216" s="12" t="s">
        <v>751</v>
      </c>
      <c r="L216" s="10" t="str">
        <f>IFERROR(__xludf.DUMMYFUNCTION("GOOGLETRANSLATE(K216,""en"",""te"")"),"గోశాలలో ఆలయ నిర్వహణలో ఆవులు ఉంటాయి మరియు సంరక్షించబడతాయి. ఇది జంతు సంరక్షణ మరియు రక్షణకు మద్దతు ఇస్తుంది. సందర్శకులు నియమించబడిన ప్రాంతాల నుండి చూడవచ్చు. ప్రవేశం నియంత్రించబడుతుంది.")</f>
        <v>గోశాలలో ఆలయ నిర్వహణలో ఆవులు ఉంటాయి మరియు సంరక్షించబడతాయి. ఇది జంతు సంరక్షణ మరియు రక్షణకు మద్దతు ఇస్తుంది. సందర్శకులు నియమించబడిన ప్రాంతాల నుండి చూడవచ్చు. ప్రవేశం నియంత్రించబడుతుంది.</v>
      </c>
      <c r="M216" s="10" t="str">
        <f>IFERROR(__xludf.DUMMYFUNCTION("GOOGLETRANSLATE(K216,""en"",""hi"")"),"गौशाला में मंदिर के प्रबंधन के तहत गायों का पालन-पोषण किया जाता है। यह पशु देखभाल और संरक्षण में सहयोग प्रदान करती है। आगंतुक निर्धारित स्थानों से गौशाला देख सकते हैं। प्रवेश नियंत्रित है।")</f>
        <v>गौशाला में मंदिर के प्रबंधन के तहत गायों का पालन-पोषण किया जाता है। यह पशु देखभाल और संरक्षण में सहयोग प्रदान करती है। आगंतुक निर्धारित स्थानों से गौशाला देख सकते हैं। प्रवेश नियंत्रित है।</v>
      </c>
      <c r="N216" s="10" t="str">
        <f>IFERROR(__xludf.DUMMYFUNCTION("GOOGLETRANSLATE(K216,""en"",""ta"")"),"கோயில் நிர்வாகத்தின் கீழ் கோசாலை பசுக்களை தங்க வைத்து பராமரிக்கிறது. இது விலங்கு பராமரிப்பு மற்றும் பாதுகாப்பை ஆதரிக்கிறது. பார்வையாளர்கள் நியமிக்கப்பட்ட பகுதிகளிலிருந்து பார்வையிடலாம். அணுகல் கட்டுப்படுத்தப்பட்டுள்ளது.")</f>
        <v>கோயில் நிர்வாகத்தின் கீழ் கோசாலை பசுக்களை தங்க வைத்து பராமரிக்கிறது. இது விலங்கு பராமரிப்பு மற்றும் பாதுகாப்பை ஆதரிக்கிறது. பார்வையாளர்கள் நியமிக்கப்பட்ட பகுதிகளிலிருந்து பார்வையிடலாம். அணுகல் கட்டுப்படுத்தப்பட்டுள்ளது.</v>
      </c>
      <c r="O216" s="10" t="str">
        <f>IFERROR(__xludf.DUMMYFUNCTION("GOOGLETRANSLATE(K216,""en"",""kn"")"),"ದೇವಾಲಯದ ನಿರ್ವಹಣೆಯಡಿಯಲ್ಲಿ ಗೋಶಾಲೆಯು ಹಸುಗಳನ್ನು ಇರಿಸುತ್ತದೆ ಮತ್ತು ನಿರ್ವಹಿಸುತ್ತದೆ. ಇದು ಪ್ರಾಣಿಗಳ ಆರೈಕೆ ಮತ್ತು ರಕ್ಷಣೆಯನ್ನು ಬೆಂಬಲಿಸುತ್ತದೆ. ಸಂದರ್ಶಕರು ಗೊತ್ತುಪಡಿಸಿದ ಪ್ರದೇಶಗಳಿಂದ ವೀಕ್ಷಿಸಬಹುದು. ಪ್ರವೇಶವನ್ನು ನಿಯಂತ್ರಿಸಲಾಗುತ್ತದೆ.")</f>
        <v>ದೇವಾಲಯದ ನಿರ್ವಹಣೆಯಡಿಯಲ್ಲಿ ಗೋಶಾಲೆಯು ಹಸುಗಳನ್ನು ಇರಿಸುತ್ತದೆ ಮತ್ತು ನಿರ್ವಹಿಸುತ್ತದೆ. ಇದು ಪ್ರಾಣಿಗಳ ಆರೈಕೆ ಮತ್ತು ರಕ್ಷಣೆಯನ್ನು ಬೆಂಬಲಿಸುತ್ತದೆ. ಸಂದರ್ಶಕರು ಗೊತ್ತುಪಡಿಸಿದ ಪ್ರದೇಶಗಳಿಂದ ವೀಕ್ಷಿಸಬಹುದು. ಪ್ರವೇಶವನ್ನು ನಿಯಂತ್ರಿಸಲಾಗುತ್ತದೆ.</v>
      </c>
      <c r="P216" s="10" t="str">
        <f>IFERROR(__xludf.DUMMYFUNCTION("GOOGLETRANSLATE(K216,""en"",""ml"")"),"ക്ഷേത്ര നടത്തിപ്പിന് കീഴിലുള്ള ഗോശാലയിൽ പശുക്കളെ പാർപ്പിക്കുകയും പരിപാലിക്കുകയും ചെയ്യുന്നു. ഇത് മൃഗസംരക്ഷണത്തിനും സംരക്ഷണത്തിനും പിന്തുണ നൽകുന്നു. സന്ദർശകർക്ക് നിയുക്ത സ്ഥലങ്ങളിൽ നിന്ന് കാണാൻ കഴിയും. പ്രവേശനം നിയന്ത്രിച്ചിരിക്കുന്നു.")</f>
        <v>ക്ഷേത്ര നടത്തിപ്പിന് കീഴിലുള്ള ഗോശാലയിൽ പശുക്കളെ പാർപ്പിക്കുകയും പരിപാലിക്കുകയും ചെയ്യുന്നു. ഇത് മൃഗസംരക്ഷണത്തിനും സംരക്ഷണത്തിനും പിന്തുണ നൽകുന്നു. സന്ദർശകർക്ക് നിയുക്ത സ്ഥലങ്ങളിൽ നിന്ന് കാണാൻ കഴിയും. പ്രവേശനം നിയന്ത്രിച്ചിരിക്കുന്നു.</v>
      </c>
    </row>
    <row r="217">
      <c r="A217" s="6">
        <f t="shared" si="1"/>
        <v>216</v>
      </c>
      <c r="B217" s="6" t="s">
        <v>752</v>
      </c>
      <c r="C217" s="6">
        <v>16.0793928</v>
      </c>
      <c r="D217" s="6">
        <v>78.8613041</v>
      </c>
      <c r="E217" s="5" t="s">
        <v>668</v>
      </c>
      <c r="F217" s="11" t="str">
        <f>IFERROR(__xludf.DUMMYFUNCTION("GOOGLETRANSLATE(B217,""en"",""te"")"),"శ్రీశైల దేవస్థానం గోసంరక్షణ")</f>
        <v>శ్రీశైల దేవస్థానం గోసంరక్షణ</v>
      </c>
      <c r="G217" s="10" t="str">
        <f>IFERROR(__xludf.DUMMYFUNCTION("GOOGLETRANSLATE(B217,""en"",""hi"")"),"श्रीशैल देवस्थानं गोसंरक्षण")</f>
        <v>श्रीशैल देवस्थानं गोसंरक्षण</v>
      </c>
      <c r="H217" s="10" t="str">
        <f>IFERROR(__xludf.DUMMYFUNCTION("GOOGLETRANSLATE(B217,""en"",""ta"")"),"ஸ்ரீசைல தேவஸ்தானம் கோசம்ரக்ஷணம்")</f>
        <v>ஸ்ரீசைல தேவஸ்தானம் கோசம்ரக்ஷணம்</v>
      </c>
      <c r="I217" s="10" t="str">
        <f>IFERROR(__xludf.DUMMYFUNCTION("GOOGLETRANSLATE(B217,""en"",""kn"")"),"ಶ್ರೀಶೈಲ ದೇವಸ್ಥಾನಂ ಗೋಸಂರಕ್ಷಣೆ")</f>
        <v>ಶ್ರೀಶೈಲ ದೇವಸ್ಥಾನಂ ಗೋಸಂರಕ್ಷಣೆ</v>
      </c>
      <c r="J217" s="10" t="str">
        <f>IFERROR(__xludf.DUMMYFUNCTION("GOOGLETRANSLATE(B217,""en"",""ml"")"),"ശ്രീശൈല ദേവസ്ഥാനം ഗോസംരക്ഷണം")</f>
        <v>ശ്രീശൈല ദേവസ്ഥാനം ഗോസംരക്ഷണം</v>
      </c>
      <c r="K217" s="12" t="s">
        <v>753</v>
      </c>
      <c r="L217" s="10" t="str">
        <f>IFERROR(__xludf.DUMMYFUNCTION("GOOGLETRANSLATE(K217,""en"",""te"")"),"ఈ సౌకర్యం గో రక్షణ మరియు సంరక్షణపై దృష్టి పెడుతుంది. దీనిని ఆలయ పరిపాలన నిర్వహిస్తుంది. కార్యకలాపాలలో దాణా మరియు వైద్య సంరక్షణ ఉన్నాయి. ప్రవేశం పరిమితం.")</f>
        <v>ఈ సౌకర్యం గో రక్షణ మరియు సంరక్షణపై దృష్టి పెడుతుంది. దీనిని ఆలయ పరిపాలన నిర్వహిస్తుంది. కార్యకలాపాలలో దాణా మరియు వైద్య సంరక్షణ ఉన్నాయి. ప్రవేశం పరిమితం.</v>
      </c>
      <c r="M217" s="10" t="str">
        <f>IFERROR(__xludf.DUMMYFUNCTION("GOOGLETRANSLATE(K217,""en"",""hi"")"),"यह केंद्र गौओं की सुरक्षा और देखभाल पर केंद्रित है। इसका प्रबंधन मंदिर प्रशासन द्वारा किया जाता है। यहाँ गौओं को चारा खिलाना और उनकी चिकित्सा देखभाल जैसी गतिविधियाँ की जाती हैं। प्रवेश सीमित है।")</f>
        <v>यह केंद्र गौओं की सुरक्षा और देखभाल पर केंद्रित है। इसका प्रबंधन मंदिर प्रशासन द्वारा किया जाता है। यहाँ गौओं को चारा खिलाना और उनकी चिकित्सा देखभाल जैसी गतिविधियाँ की जाती हैं। प्रवेश सीमित है।</v>
      </c>
      <c r="N217" s="10" t="str">
        <f>IFERROR(__xludf.DUMMYFUNCTION("GOOGLETRANSLATE(K217,""en"",""ta"")"),"இந்த வசதி பசு பாதுகாப்பு மற்றும் பராமரிப்பில் கவனம் செலுத்துகிறது. இது கோயில் நிர்வாகத்தால் நிர்வகிக்கப்படுகிறது. உணவு மற்றும் மருத்துவ பராமரிப்பு உள்ளிட்ட செயல்பாடுகள் இதில் அடங்கும். நுழைவு வரம்புக்குட்பட்டது.")</f>
        <v>இந்த வசதி பசு பாதுகாப்பு மற்றும் பராமரிப்பில் கவனம் செலுத்துகிறது. இது கோயில் நிர்வாகத்தால் நிர்வகிக்கப்படுகிறது. உணவு மற்றும் மருத்துவ பராமரிப்பு உள்ளிட்ட செயல்பாடுகள் இதில் அடங்கும். நுழைவு வரம்புக்குட்பட்டது.</v>
      </c>
      <c r="O217" s="10" t="str">
        <f>IFERROR(__xludf.DUMMYFUNCTION("GOOGLETRANSLATE(K217,""en"",""kn"")"),"ಈ ಸೌಲಭ್ಯವು ಗೋ ರಕ್ಷಣೆ ಮತ್ತು ಆರೈಕೆಯ ಮೇಲೆ ಕೇಂದ್ರೀಕರಿಸುತ್ತದೆ. ಇದನ್ನು ದೇವಾಲಯ ಆಡಳಿತ ಮಂಡಳಿಯು ನಿರ್ವಹಿಸುತ್ತದೆ. ಚಟುವಟಿಕೆಗಳಲ್ಲಿ ಆಹಾರ ಮತ್ತು ವೈದ್ಯಕೀಯ ಆರೈಕೆ ಸೇರಿವೆ. ಪ್ರವೇಶ ಸೀಮಿತವಾಗಿದೆ.")</f>
        <v>ಈ ಸೌಲಭ್ಯವು ಗೋ ರಕ್ಷಣೆ ಮತ್ತು ಆರೈಕೆಯ ಮೇಲೆ ಕೇಂದ್ರೀಕರಿಸುತ್ತದೆ. ಇದನ್ನು ದೇವಾಲಯ ಆಡಳಿತ ಮಂಡಳಿಯು ನಿರ್ವಹಿಸುತ್ತದೆ. ಚಟುವಟಿಕೆಗಳಲ್ಲಿ ಆಹಾರ ಮತ್ತು ವೈದ್ಯಕೀಯ ಆರೈಕೆ ಸೇರಿವೆ. ಪ್ರವೇಶ ಸೀಮಿತವಾಗಿದೆ.</v>
      </c>
      <c r="P217" s="10" t="str">
        <f>IFERROR(__xludf.DUMMYFUNCTION("GOOGLETRANSLATE(K217,""en"",""ml"")"),"ഗോസംരക്ഷണത്തിലും പരിചരണത്തിലും ശ്രദ്ധ കേന്ദ്രീകരിക്കുന്ന ഈ സൗകര്യം ക്ഷേത്ര ഭരണകൂടമാണ് കൈകാര്യം ചെയ്യുന്നത്. ഭക്ഷണവും വൈദ്യ പരിചരണവും ഉൾപ്പെടെയുള്ള പ്രവർത്തനങ്ങളിൽ ഇവ ഉൾപ്പെടുന്നു. പ്രവേശനം പരിമിതമാണ്.")</f>
        <v>ഗോസംരക്ഷണത്തിലും പരിചരണത്തിലും ശ്രദ്ധ കേന്ദ്രീകരിക്കുന്ന ഈ സൗകര്യം ക്ഷേത്ര ഭരണകൂടമാണ് കൈകാര്യം ചെയ്യുന്നത്. ഭക്ഷണവും വൈദ്യ പരിചരണവും ഉൾപ്പെടെയുള്ള പ്രവർത്തനങ്ങളിൽ ഇവ ഉൾപ്പെടുന്നു. പ്രവേശനം പരിമിതമാണ്.</v>
      </c>
    </row>
    <row r="218">
      <c r="A218" s="6">
        <f t="shared" si="1"/>
        <v>217</v>
      </c>
      <c r="B218" s="8" t="s">
        <v>754</v>
      </c>
      <c r="C218" s="25">
        <v>16.04565</v>
      </c>
      <c r="D218" s="8">
        <v>78.91695</v>
      </c>
      <c r="E218" s="8" t="s">
        <v>668</v>
      </c>
      <c r="F218" s="11" t="str">
        <f>IFERROR(__xludf.DUMMYFUNCTION("GOOGLETRANSLATE(B218,""en"",""te"")"),"శిఖరం కార్ పార్కింగ్")</f>
        <v>శిఖరం కార్ పార్కింగ్</v>
      </c>
      <c r="G218" s="8" t="s">
        <v>755</v>
      </c>
      <c r="H218" s="8" t="s">
        <v>756</v>
      </c>
      <c r="I218" s="8" t="s">
        <v>757</v>
      </c>
      <c r="J218" s="8" t="s">
        <v>758</v>
      </c>
      <c r="K218" s="12" t="s">
        <v>759</v>
      </c>
      <c r="L218" s="10" t="str">
        <f>IFERROR(__xludf.DUMMYFUNCTION("GOOGLETRANSLATE(K218,""en"",""te"")"),"శిఖరం కార్ పార్కింగ్ అనేది శ్రీశైలంలోని శిఖరం ప్రాంతానికి సమీపంలో ఉన్న ఒక నియమించబడిన పార్కింగ్ సౌకర్యం.")</f>
        <v>శిఖరం కార్ పార్కింగ్ అనేది శ్రీశైలంలోని శిఖరం ప్రాంతానికి సమీపంలో ఉన్న ఒక నియమించబడిన పార్కింగ్ సౌకర్యం.</v>
      </c>
      <c r="M218" s="10" t="str">
        <f>IFERROR(__xludf.DUMMYFUNCTION("GOOGLETRANSLATE(K218,""en"",""hi"")"),"शिखरम कार पार्किंग, श्रीशैलम के शिखरम क्षेत्र के पास स्थित एक निर्दिष्ट पार्किंग सुविधा है।")</f>
        <v>शिखरम कार पार्किंग, श्रीशैलम के शिखरम क्षेत्र के पास स्थित एक निर्दिष्ट पार्किंग सुविधा है।</v>
      </c>
      <c r="N218" s="10" t="str">
        <f>IFERROR(__xludf.DUMMYFUNCTION("GOOGLETRANSLATE(K218,""en"",""ta"")"),"ஷிகாரம் கார் பார்க்கிங் என்பது ஸ்ரீசைலத்தின் ஷிகாரம் பகுதிக்கு அருகில் உள்ள ஒரு நியமிக்கப்பட்ட பார்க்கிங் வசதியாகும்.")</f>
        <v>ஷிகாரம் கார் பார்க்கிங் என்பது ஸ்ரீசைலத்தின் ஷிகாரம் பகுதிக்கு அருகில் உள்ள ஒரு நியமிக்கப்பட்ட பார்க்கிங் வசதியாகும்.</v>
      </c>
      <c r="O218" s="10" t="str">
        <f>IFERROR(__xludf.DUMMYFUNCTION("GOOGLETRANSLATE(K218,""en"",""kn"")"),"ಶಿಖರಂ ಕಾರ್ ಪಾರ್ಕಿಂಗ್ ಎಂಬುದು ಶ್ರೀಶೈಲದ ಶಿಖರಂ ಪ್ರದೇಶದ ಬಳಿ ಗೊತ್ತುಪಡಿಸಿದ ಪಾರ್ಕಿಂಗ್ ಸೌಲಭ್ಯವಾಗಿದೆ.")</f>
        <v>ಶಿಖರಂ ಕಾರ್ ಪಾರ್ಕಿಂಗ್ ಎಂಬುದು ಶ್ರೀಶೈಲದ ಶಿಖರಂ ಪ್ರದೇಶದ ಬಳಿ ಗೊತ್ತುಪಡಿಸಿದ ಪಾರ್ಕಿಂಗ್ ಸೌಲಭ್ಯವಾಗಿದೆ.</v>
      </c>
      <c r="P218" s="10" t="str">
        <f>IFERROR(__xludf.DUMMYFUNCTION("GOOGLETRANSLATE(K218,""en"",""ml"")"),"ശ്രീശൈലത്തിലെ ശിഖാരം പ്രദേശത്തിനടുത്തുള്ള ഒരു നിയുക്ത പാർക്കിംഗ് സൗകര്യമാണ് ശിഖാരം കാർ പാർക്കിംഗ്.")</f>
        <v>ശ്രീശൈലത്തിലെ ശിഖാരം പ്രദേശത്തിനടുത്തുള്ള ഒരു നിയുക്ത പാർക്കിംഗ് സൗകര്യമാണ് ശിഖാരം കാർ പാർക്കിംഗ്.</v>
      </c>
    </row>
    <row r="219">
      <c r="A219" s="6">
        <f t="shared" si="1"/>
        <v>218</v>
      </c>
      <c r="B219" s="6" t="s">
        <v>760</v>
      </c>
      <c r="C219" s="6">
        <v>16.0801738</v>
      </c>
      <c r="D219" s="6">
        <v>78.8815323</v>
      </c>
      <c r="E219" s="5" t="s">
        <v>668</v>
      </c>
      <c r="F219" s="8" t="s">
        <v>761</v>
      </c>
      <c r="G219" s="8" t="s">
        <v>762</v>
      </c>
      <c r="H219" s="10" t="str">
        <f>IFERROR(__xludf.DUMMYFUNCTION("GOOGLETRANSLATE(B219,""en"",""ta"")"),"ஸ்னானா கட்டலு, பாதலகங்கா, ஸ்ரீசைலம்")</f>
        <v>ஸ்னானா கட்டலு, பாதலகங்கா, ஸ்ரீசைலம்</v>
      </c>
      <c r="I219" s="10" t="str">
        <f>IFERROR(__xludf.DUMMYFUNCTION("GOOGLETRANSLATE(B219,""en"",""kn"")"),"ಸ್ನಾನ ಘಟ್ಟಲು, ಪಾತಾಳಗಂಗಾ, ಶ್ರೀಶೈಲ")</f>
        <v>ಸ್ನಾನ ಘಟ್ಟಲು, ಪಾತಾಳಗಂಗಾ, ಶ್ರೀಶೈಲ</v>
      </c>
      <c r="J219" s="10" t="str">
        <f>IFERROR(__xludf.DUMMYFUNCTION("GOOGLETRANSLATE(B219,""en"",""ml"")"),"സ്നാന ഘട്ടലു, പാതാളഗംഗ, ശ്രീശൈലം")</f>
        <v>സ്നാന ഘട്ടലു, പാതാളഗംഗ, ശ്രീശൈലം</v>
      </c>
      <c r="K219" s="12" t="s">
        <v>763</v>
      </c>
      <c r="L219" s="10" t="str">
        <f>IFERROR(__xludf.DUMMYFUNCTION("GOOGLETRANSLATE(K219,""en"",""te"")"),"స్నాన ఘట్టాలు పాతాలగంగ వద్ద స్నాన మెట్లుగా నియమించబడ్డాయి. అవి నదిలోకి సురక్షితమైన ప్రవేశాన్ని అందిస్తాయి. రద్దీ సమయాల్లో స్నానం నియంత్రించబడుతుంది. సందర్శకులు భద్రతా సూచనలను పాటించాలి.")</f>
        <v>స్నాన ఘట్టాలు పాతాలగంగ వద్ద స్నాన మెట్లుగా నియమించబడ్డాయి. అవి నదిలోకి సురక్షితమైన ప్రవేశాన్ని అందిస్తాయి. రద్దీ సమయాల్లో స్నానం నియంత్రించబడుతుంది. సందర్శకులు భద్రతా సూచనలను పాటించాలి.</v>
      </c>
      <c r="M219" s="10" t="str">
        <f>IFERROR(__xludf.DUMMYFUNCTION("GOOGLETRANSLATE(K219,""en"",""hi"")"),"स्नान घट्टलू, पाथलगंगा में स्नान के लिए निर्धारित सीढ़ियाँ हैं। ये नदी तक सुरक्षित पहुँच प्रदान करती हैं। व्यस्त समय में स्नान करना प्रतिबंधित है। आगंतुकों को सुरक्षा निर्देशों का पालन करना होगा।")</f>
        <v>स्नान घट्टलू, पाथलगंगा में स्नान के लिए निर्धारित सीढ़ियाँ हैं। ये नदी तक सुरक्षित पहुँच प्रदान करती हैं। व्यस्त समय में स्नान करना प्रतिबंधित है। आगंतुकों को सुरक्षा निर्देशों का पालन करना होगा।</v>
      </c>
      <c r="N219" s="10" t="str">
        <f>IFERROR(__xludf.DUMMYFUNCTION("GOOGLETRANSLATE(K219,""en"",""ta"")"),"பதலகங்காவில் ஸ்னான கட்டலு குளிப்பதற்கு நியமிக்கப்பட்ட படிகள். அவை ஆற்றில் பாதுகாப்பாக செல்ல உதவுகின்றன. உச்ச நேரங்களில் குளிப்பதை கட்டுப்படுத்தலாம். பார்வையாளர்கள் பாதுகாப்பு வழிமுறைகளைப் பின்பற்ற வேண்டும்.")</f>
        <v>பதலகங்காவில் ஸ்னான கட்டலு குளிப்பதற்கு நியமிக்கப்பட்ட படிகள். அவை ஆற்றில் பாதுகாப்பாக செல்ல உதவுகின்றன. உச்ச நேரங்களில் குளிப்பதை கட்டுப்படுத்தலாம். பார்வையாளர்கள் பாதுகாப்பு வழிமுறைகளைப் பின்பற்ற வேண்டும்.</v>
      </c>
      <c r="O219" s="10" t="str">
        <f>IFERROR(__xludf.DUMMYFUNCTION("GOOGLETRANSLATE(K219,""en"",""kn"")"),"ಸ್ನಾನ ಘಟ್ಟಲುಗಳು ಪಾತಾಳಗಂಗಾದಲ್ಲಿ ಸ್ನಾನದ ಮೆಟ್ಟಿಲುಗಳಾಗಿ ಗೊತ್ತುಪಡಿಸಲಾಗಿದೆ. ಅವು ನದಿಗೆ ಸುರಕ್ಷಿತ ಪ್ರವೇಶವನ್ನು ಒದಗಿಸುತ್ತವೆ. ಪೀಕ್ ಸಮಯದಲ್ಲಿ ಸ್ನಾನವನ್ನು ನಿಯಂತ್ರಿಸಲಾಗುತ್ತದೆ. ಸಂದರ್ಶಕರು ಸುರಕ್ಷತಾ ಸೂಚನೆಗಳನ್ನು ಪಾಲಿಸಬೇಕು.")</f>
        <v>ಸ್ನಾನ ಘಟ್ಟಲುಗಳು ಪಾತಾಳಗಂಗಾದಲ್ಲಿ ಸ್ನಾನದ ಮೆಟ್ಟಿಲುಗಳಾಗಿ ಗೊತ್ತುಪಡಿಸಲಾಗಿದೆ. ಅವು ನದಿಗೆ ಸುರಕ್ಷಿತ ಪ್ರವೇಶವನ್ನು ಒದಗಿಸುತ್ತವೆ. ಪೀಕ್ ಸಮಯದಲ್ಲಿ ಸ್ನಾನವನ್ನು ನಿಯಂತ್ರಿಸಲಾಗುತ್ತದೆ. ಸಂದರ್ಶಕರು ಸುರಕ್ಷತಾ ಸೂಚನೆಗಳನ್ನು ಪಾಲಿಸಬೇಕು.</v>
      </c>
      <c r="P219" s="10" t="str">
        <f>IFERROR(__xludf.DUMMYFUNCTION("GOOGLETRANSLATE(K219,""en"",""ml"")"),"പാതാളഗംഗയിൽ കുളിക്കാനുള്ള പടവുകളാണ് സ്നാന ഘട്ടലു. അവ നദിയിലേക്ക് സുരക്ഷിതമായി പ്രവേശിക്കാൻ സഹായിക്കുന്നു. തിരക്കേറിയ സമയങ്ങളിൽ കുളിക്കുന്നത് നിയന്ത്രിക്കപ്പെടുന്നു. സന്ദർശകർ സുരക്ഷാ നിർദ്ദേശങ്ങൾ പാലിക്കണം.")</f>
        <v>പാതാളഗംഗയിൽ കുളിക്കാനുള്ള പടവുകളാണ് സ്നാന ഘട്ടലു. അവ നദിയിലേക്ക് സുരക്ഷിതമായി പ്രവേശിക്കാൻ സഹായിക്കുന്നു. തിരക്കേറിയ സമയങ്ങളിൽ കുളിക്കുന്നത് നിയന്ത്രിക്കപ്പെടുന്നു. സന്ദർശകർ സുരക്ഷാ നിർദ്ദേശങ്ങൾ പാലിക്കണം.</v>
      </c>
    </row>
    <row r="220">
      <c r="A220" s="6">
        <f t="shared" si="1"/>
        <v>219</v>
      </c>
      <c r="B220" s="6" t="s">
        <v>764</v>
      </c>
      <c r="C220" s="6">
        <v>16.0676081</v>
      </c>
      <c r="D220" s="6">
        <v>78.866079</v>
      </c>
      <c r="E220" s="5" t="s">
        <v>765</v>
      </c>
      <c r="F220" s="10" t="str">
        <f>IFERROR(__xludf.DUMMYFUNCTION("GOOGLETRANSLATE(B220,""en"",""te"")"),"నీటి శుద్ధి కేంద్రం - శ్రీశైలం")</f>
        <v>నీటి శుద్ధి కేంద్రం - శ్రీశైలం</v>
      </c>
      <c r="G220" s="10" t="str">
        <f>IFERROR(__xludf.DUMMYFUNCTION("GOOGLETRANSLATE(B220,""en"",""hi"")"),"जल उपचार संयंत्र - श्रीशैलम")</f>
        <v>जल उपचार संयंत्र - श्रीशैलम</v>
      </c>
      <c r="H220" s="10" t="str">
        <f>IFERROR(__xludf.DUMMYFUNCTION("GOOGLETRANSLATE(B220,""en"",""ta"")"),"நீர் சுத்திகரிப்பு நிலையம் - ஸ்ரீசைலம்")</f>
        <v>நீர் சுத்திகரிப்பு நிலையம் - ஸ்ரீசைலம்</v>
      </c>
      <c r="I220" s="10" t="str">
        <f>IFERROR(__xludf.DUMMYFUNCTION("GOOGLETRANSLATE(B220,""en"",""kn"")"),"ಜಲ ಸಂಸ್ಕರಣಾ ಘಟಕ - ಶ್ರೀಶೈಲಂ")</f>
        <v>ಜಲ ಸಂಸ್ಕರಣಾ ಘಟಕ - ಶ್ರೀಶೈಲಂ</v>
      </c>
      <c r="J220" s="10" t="str">
        <f>IFERROR(__xludf.DUMMYFUNCTION("GOOGLETRANSLATE(B220,""en"",""ml"")"),"ജലശുദ്ധീകരണ പ്ലാൻ്റ് - ശ്രീശൈലം")</f>
        <v>ജലശുദ്ധീകരണ പ്ലാൻ്റ് - ശ്രീശൈലം</v>
      </c>
      <c r="K220" s="12" t="s">
        <v>766</v>
      </c>
      <c r="L220" s="10" t="str">
        <f>IFERROR(__xludf.DUMMYFUNCTION("GOOGLETRANSLATE(K220,""en"",""te"")"),"ఈ నీటి శుద్ధి కర్మాగారం పట్టణానికి పరిశుభ్రమైన నీటిని శుద్ధి చేసి సరఫరా చేస్తుంది. రోజువారీ వినియోగానికి అనువైనదిగా చేయడానికి ఇది ముడి నీటిని శుద్ధి చేస్తుంది. ఈ సౌకర్యం నిరంతరం పనిచేస్తుంది. ప్రజలకు ప్రవేశం పరిమితం చేయబడింది.")</f>
        <v>ఈ నీటి శుద్ధి కర్మాగారం పట్టణానికి పరిశుభ్రమైన నీటిని శుద్ధి చేసి సరఫరా చేస్తుంది. రోజువారీ వినియోగానికి అనువైనదిగా చేయడానికి ఇది ముడి నీటిని శుద్ధి చేస్తుంది. ఈ సౌకర్యం నిరంతరం పనిచేస్తుంది. ప్రజలకు ప్రవేశం పరిమితం చేయబడింది.</v>
      </c>
      <c r="M220" s="10" t="str">
        <f>IFERROR(__xludf.DUMMYFUNCTION("GOOGLETRANSLATE(K220,""en"",""hi"")"),"जल शोधन संयंत्र शहर को स्वच्छ जल की आपूर्ति करता है। यह कच्चे पानी को दैनिक उपयोग के लिए उपयुक्त बनाने हेतु उसका उपचार करता है। यह संयंत्र निरंतर संचालित होता है। आम जनता का प्रवेश प्रतिबंधित है।")</f>
        <v>जल शोधन संयंत्र शहर को स्वच्छ जल की आपूर्ति करता है। यह कच्चे पानी को दैनिक उपयोग के लिए उपयुक्त बनाने हेतु उसका उपचार करता है। यह संयंत्र निरंतर संचालित होता है। आम जनता का प्रवेश प्रतिबंधित है।</v>
      </c>
      <c r="N220" s="10" t="str">
        <f>IFERROR(__xludf.DUMMYFUNCTION("GOOGLETRANSLATE(K220,""en"",""ta"")"),"நீர் சுத்திகரிப்பு நிலையம் நகரத்திற்கு சுத்தமான தண்ணீரை பதப்படுத்தி வழங்குகிறது. இது தினசரி பயன்பாட்டிற்கு ஏற்றவாறு கச்சா நீரை சுத்திகரிக்கிறது. இந்த வசதி தொடர்ந்து இயங்குகிறது. பொதுமக்களுக்கு அணுகல் தடைசெய்யப்பட்டுள்ளது.")</f>
        <v>நீர் சுத்திகரிப்பு நிலையம் நகரத்திற்கு சுத்தமான தண்ணீரை பதப்படுத்தி வழங்குகிறது. இது தினசரி பயன்பாட்டிற்கு ஏற்றவாறு கச்சா நீரை சுத்திகரிக்கிறது. இந்த வசதி தொடர்ந்து இயங்குகிறது. பொதுமக்களுக்கு அணுகல் தடைசெய்யப்பட்டுள்ளது.</v>
      </c>
      <c r="O220" s="10" t="str">
        <f>IFERROR(__xludf.DUMMYFUNCTION("GOOGLETRANSLATE(K220,""en"",""kn"")"),"ನೀರು ಸಂಸ್ಕರಣಾ ಘಟಕವು ಪಟ್ಟಣಕ್ಕೆ ಶುದ್ಧ ನೀರನ್ನು ಸಂಸ್ಕರಿಸಿ ಪೂರೈಸುತ್ತದೆ. ಇದು ಕಚ್ಚಾ ನೀರನ್ನು ಸಂಸ್ಕರಿಸಿ ದೈನಂದಿನ ಬಳಕೆಗೆ ಸೂಕ್ತವಾಗಿಸುತ್ತದೆ. ಈ ಸೌಲಭ್ಯವು ನಿರಂತರವಾಗಿ ಕಾರ್ಯನಿರ್ವಹಿಸುತ್ತದೆ. ಸಾರ್ವಜನಿಕ ಪ್ರವೇಶವನ್ನು ನಿರ್ಬಂಧಿಸಲಾಗಿದೆ.")</f>
        <v>ನೀರು ಸಂಸ್ಕರಣಾ ಘಟಕವು ಪಟ್ಟಣಕ್ಕೆ ಶುದ್ಧ ನೀರನ್ನು ಸಂಸ್ಕರಿಸಿ ಪೂರೈಸುತ್ತದೆ. ಇದು ಕಚ್ಚಾ ನೀರನ್ನು ಸಂಸ್ಕರಿಸಿ ದೈನಂದಿನ ಬಳಕೆಗೆ ಸೂಕ್ತವಾಗಿಸುತ್ತದೆ. ಈ ಸೌಲಭ್ಯವು ನಿರಂತರವಾಗಿ ಕಾರ್ಯನಿರ್ವಹಿಸುತ್ತದೆ. ಸಾರ್ವಜನಿಕ ಪ್ರವೇಶವನ್ನು ನಿರ್ಬಂಧಿಸಲಾಗಿದೆ.</v>
      </c>
      <c r="P220" s="10" t="str">
        <f>IFERROR(__xludf.DUMMYFUNCTION("GOOGLETRANSLATE(K220,""en"",""ml"")"),"ജലശുദ്ധീകരണ പ്ലാന്റ് പട്ടണത്തിലേക്ക് ശുദ്ധജലം സംസ്കരിച്ച് വിതരണം ചെയ്യുന്നു. ദൈനംദിന ഉപയോഗത്തിന് അനുയോജ്യമാക്കുന്നതിനായി ഇത് അസംസ്കൃത ജലം സംസ്കരിക്കുന്നു. സൗകര്യം തുടർച്ചയായി പ്രവർത്തിക്കുന്നു. പൊതുജനങ്ങൾക്ക് പ്രവേശനം നിയന്ത്രിച്ചിരിക്കുന്നു.")</f>
        <v>ജലശുദ്ധീകരണ പ്ലാന്റ് പട്ടണത്തിലേക്ക് ശുദ്ധജലം സംസ്കരിച്ച് വിതരണം ചെയ്യുന്നു. ദൈനംദിന ഉപയോഗത്തിന് അനുയോജ്യമാക്കുന്നതിനായി ഇത് അസംസ്കൃത ജലം സംസ്കരിക്കുന്നു. സൗകര്യം തുടർച്ചയായി പ്രവർത്തിക്കുന്നു. പൊതുജനങ്ങൾക്ക് പ്രവേശനം നിയന്ത്രിച്ചിരിക്കുന്നു.</v>
      </c>
    </row>
    <row r="221">
      <c r="A221" s="6">
        <f t="shared" si="1"/>
        <v>220</v>
      </c>
      <c r="B221" s="6" t="s">
        <v>767</v>
      </c>
      <c r="C221" s="6">
        <v>16.0734981</v>
      </c>
      <c r="D221" s="6">
        <v>78.8757396</v>
      </c>
      <c r="E221" s="5" t="s">
        <v>765</v>
      </c>
      <c r="F221" s="8" t="s">
        <v>768</v>
      </c>
      <c r="G221" s="8" t="s">
        <v>769</v>
      </c>
      <c r="H221" s="8" t="s">
        <v>770</v>
      </c>
      <c r="I221" s="8" t="s">
        <v>771</v>
      </c>
      <c r="J221" s="8" t="s">
        <v>772</v>
      </c>
      <c r="K221" s="12" t="s">
        <v>773</v>
      </c>
      <c r="L221" s="10" t="str">
        <f>IFERROR(__xludf.DUMMYFUNCTION("GOOGLETRANSLATE(K221,""en"",""te"")"),"ఈ విద్యుత్ సబ్ స్టేషన్ శ్రీశైలం ప్రాంతంలో విద్యుత్ పంపిణీని నిర్వహిస్తుంది. ఇది వోల్టేజ్ మరియు సరఫరా స్థిరత్వాన్ని నియంత్రించడంలో సహాయపడుతుంది. కార్యకలాపాలు 24 గంటలూ జరుగుతాయి. అధికారం కలిగిన సిబ్బందికి మాత్రమే ప్రవేశం పరిమితం.")</f>
        <v>ఈ విద్యుత్ సబ్ స్టేషన్ శ్రీశైలం ప్రాంతంలో విద్యుత్ పంపిణీని నిర్వహిస్తుంది. ఇది వోల్టేజ్ మరియు సరఫరా స్థిరత్వాన్ని నియంత్రించడంలో సహాయపడుతుంది. కార్యకలాపాలు 24 గంటలూ జరుగుతాయి. అధికారం కలిగిన సిబ్బందికి మాత్రమే ప్రవేశం పరిమితం.</v>
      </c>
      <c r="M221" s="10" t="str">
        <f>IFERROR(__xludf.DUMMYFUNCTION("GOOGLETRANSLATE(K221,""en"",""hi"")"),"यह विद्युत सबस्टेशन श्रीशैलम क्षेत्र में बिजली वितरण का प्रबंधन करता है। यह वोल्टेज को नियंत्रित करने और आपूर्ति स्थिरता बनाए रखने में सहायक है। यह चौबीसों घंटे कार्यरत रहता है। यहां केवल अधिकृत कर्मचारियों को ही प्रवेश की अनुमति है।")</f>
        <v>यह विद्युत सबस्टेशन श्रीशैलम क्षेत्र में बिजली वितरण का प्रबंधन करता है। यह वोल्टेज को नियंत्रित करने और आपूर्ति स्थिरता बनाए रखने में सहायक है। यह चौबीसों घंटे कार्यरत रहता है। यहां केवल अधिकृत कर्मचारियों को ही प्रवेश की अनुमति है।</v>
      </c>
      <c r="N221" s="10" t="str">
        <f>IFERROR(__xludf.DUMMYFUNCTION("GOOGLETRANSLATE(K221,""en"",""ta"")"),"இந்த மின் துணை மின் நிலையம் ஸ்ரீசைலம் பகுதியில் மின் விநியோகத்தை நிர்வகிக்கிறது. இது மின்னழுத்தத்தையும் விநியோக நிலைத்தன்மையையும் ஒழுங்குபடுத்த உதவுகிறது. செயல்பாடுகள் 24 மணி நேரமும் இயங்கும். அங்கீகரிக்கப்பட்ட ஊழியர்களுக்கு மட்டுமே நுழைவு தடைசெய்யப்பட்டு"&amp;"ள்ளது.")</f>
        <v>இந்த மின் துணை மின் நிலையம் ஸ்ரீசைலம் பகுதியில் மின் விநியோகத்தை நிர்வகிக்கிறது. இது மின்னழுத்தத்தையும் விநியோக நிலைத்தன்மையையும் ஒழுங்குபடுத்த உதவுகிறது. செயல்பாடுகள் 24 மணி நேரமும் இயங்கும். அங்கீகரிக்கப்பட்ட ஊழியர்களுக்கு மட்டுமே நுழைவு தடைசெய்யப்பட்டுள்ளது.</v>
      </c>
      <c r="O221" s="10" t="str">
        <f>IFERROR(__xludf.DUMMYFUNCTION("GOOGLETRANSLATE(K221,""en"",""kn"")"),"ಈ ವಿದ್ಯುತ್ ಉಪಕೇಂದ್ರವು ಶ್ರೀಶೈಲಂ ಪ್ರದೇಶದಲ್ಲಿ ವಿದ್ಯುತ್ ವಿತರಣೆಯನ್ನು ನಿರ್ವಹಿಸುತ್ತದೆ. ಇದು ವೋಲ್ಟೇಜ್ ಮತ್ತು ಪೂರೈಕೆಯ ಸ್ಥಿರತೆಯನ್ನು ನಿಯಂತ್ರಿಸಲು ಸಹಾಯ ಮಾಡುತ್ತದೆ. ಕಾರ್ಯಾಚರಣೆಗಳು ದಿನದ 24 ಗಂಟೆಯೂ ನಡೆಯುತ್ತವೆ. ಪ್ರವೇಶವು ಅಧಿಕೃತ ಸಿಬ್ಬಂದಿಗೆ ಮಾತ್ರ ಸೀಮಿತವಾಗಿದೆ.")</f>
        <v>ಈ ವಿದ್ಯುತ್ ಉಪಕೇಂದ್ರವು ಶ್ರೀಶೈಲಂ ಪ್ರದೇಶದಲ್ಲಿ ವಿದ್ಯುತ್ ವಿತರಣೆಯನ್ನು ನಿರ್ವಹಿಸುತ್ತದೆ. ಇದು ವೋಲ್ಟೇಜ್ ಮತ್ತು ಪೂರೈಕೆಯ ಸ್ಥಿರತೆಯನ್ನು ನಿಯಂತ್ರಿಸಲು ಸಹಾಯ ಮಾಡುತ್ತದೆ. ಕಾರ್ಯಾಚರಣೆಗಳು ದಿನದ 24 ಗಂಟೆಯೂ ನಡೆಯುತ್ತವೆ. ಪ್ರವೇಶವು ಅಧಿಕೃತ ಸಿಬ್ಬಂದಿಗೆ ಮಾತ್ರ ಸೀಮಿತವಾಗಿದೆ.</v>
      </c>
      <c r="P221" s="10" t="str">
        <f>IFERROR(__xludf.DUMMYFUNCTION("GOOGLETRANSLATE(K221,""en"",""ml"")"),"ശ്രീശൈലം പ്രദേശത്തെ വൈദ്യുതി വിതരണം നിയന്ത്രിക്കുന്നത് ഈ വൈദ്യുതി സബ്സ്റ്റേഷനാണ്. വോൾട്ടേജും വിതരണ സ്ഥിരതയും നിയന്ത്രിക്കാൻ ഇത് സഹായിക്കുന്നു. പ്രവർത്തനങ്ങൾ 24 മണിക്കൂറും പ്രവർത്തിക്കുന്നു. അംഗീകൃത ജീവനക്കാർക്ക് മാത്രമേ പ്രവേശനം പരിമിതപ്പെടുത്തിയിട്ടുള്ളൂ"&amp;".")</f>
        <v>ശ്രീശൈലം പ്രദേശത്തെ വൈദ്യുതി വിതരണം നിയന്ത്രിക്കുന്നത് ഈ വൈദ്യുതി സബ്സ്റ്റേഷനാണ്. വോൾട്ടേജും വിതരണ സ്ഥിരതയും നിയന്ത്രിക്കാൻ ഇത് സഹായിക്കുന്നു. പ്രവർത്തനങ്ങൾ 24 മണിക്കൂറും പ്രവർത്തിക്കുന്നു. അംഗീകൃത ജീവനക്കാർക്ക് മാത്രമേ പ്രവേശനം പരിമിതപ്പെടുത്തിയിട്ടുള്ളൂ.</v>
      </c>
    </row>
    <row r="222">
      <c r="A222" s="6">
        <f t="shared" si="1"/>
        <v>221</v>
      </c>
      <c r="B222" s="6" t="s">
        <v>774</v>
      </c>
      <c r="C222" s="6">
        <v>16.072001</v>
      </c>
      <c r="D222" s="6">
        <v>78.8715</v>
      </c>
      <c r="E222" s="5" t="s">
        <v>765</v>
      </c>
      <c r="F222" s="10" t="str">
        <f>IFERROR(__xludf.DUMMYFUNCTION("GOOGLETRANSLATE(B222,""en"",""te"")"),"ఇండియన్ ఆయిల్")</f>
        <v>ఇండియన్ ఆయిల్</v>
      </c>
      <c r="G222" s="8" t="s">
        <v>775</v>
      </c>
      <c r="H222" s="8" t="s">
        <v>776</v>
      </c>
      <c r="I222" s="8" t="s">
        <v>777</v>
      </c>
      <c r="J222" s="8" t="s">
        <v>778</v>
      </c>
      <c r="K222" s="12" t="s">
        <v>779</v>
      </c>
      <c r="L222" s="10" t="str">
        <f>IFERROR(__xludf.DUMMYFUNCTION("GOOGLETRANSLATE(K222,""en"",""te"")"),"ఇండియన్ ఆయిల్ ఇంధన కేంద్రం వాహనాలకు పెట్రోల్ మరియు డీజిల్‌ను అందిస్తుంది. ఇది స్థానిక మరియు పర్యాటక రద్దీకి మద్దతు ఇస్తుంది. ఆపరేటింగ్ సమయాల్లో ఇంధనం పంపిణీ చేయబడుతుంది. ప్రాథమిక విమాన మరియు సేవా సౌకర్యాలు అందుబాటులో ఉండవచ్చు.")</f>
        <v>ఇండియన్ ఆయిల్ ఇంధన కేంద్రం వాహనాలకు పెట్రోల్ మరియు డీజిల్‌ను అందిస్తుంది. ఇది స్థానిక మరియు పర్యాటక రద్దీకి మద్దతు ఇస్తుంది. ఆపరేటింగ్ సమయాల్లో ఇంధనం పంపిణీ చేయబడుతుంది. ప్రాథమిక విమాన మరియు సేవా సౌకర్యాలు అందుబాటులో ఉండవచ్చు.</v>
      </c>
      <c r="M222" s="10" t="str">
        <f>IFERROR(__xludf.DUMMYFUNCTION("GOOGLETRANSLATE(K222,""en"",""hi"")"),"इंडियनऑयल का पेट्रोल पंप वाहनों के लिए पेट्रोल और डीजल उपलब्ध कराता है। यह स्थानीय और पर्यटक यातायात दोनों की जरूरतों को पूरा करता है। परिचालन समय के दौरान ईंधन की आपूर्ति की जाती है। बुनियादी हवाई और अन्य सेवा सुविधाएं भी उपलब्ध हो सकती हैं।")</f>
        <v>इंडियनऑयल का पेट्रोल पंप वाहनों के लिए पेट्रोल और डीजल उपलब्ध कराता है। यह स्थानीय और पर्यटक यातायात दोनों की जरूरतों को पूरा करता है। परिचालन समय के दौरान ईंधन की आपूर्ति की जाती है। बुनियादी हवाई और अन्य सेवा सुविधाएं भी उपलब्ध हो सकती हैं।</v>
      </c>
      <c r="N222" s="10" t="str">
        <f>IFERROR(__xludf.DUMMYFUNCTION("GOOGLETRANSLATE(K222,""en"",""ta"")"),"இந்தியன் ஆயில் எரிபொருள் நிலையம் வாகனங்களுக்கு பெட்ரோல் மற்றும் டீசலை வழங்குகிறது. இது உள்ளூர் மற்றும் சுற்றுலா போக்குவரத்தை ஆதரிக்கிறது. இயக்க நேரங்களில் எரிபொருள் விநியோகிக்கப்படுகிறது. அடிப்படை விமான மற்றும் சேவை வசதிகள் கிடைக்கக்கூடும்.")</f>
        <v>இந்தியன் ஆயில் எரிபொருள் நிலையம் வாகனங்களுக்கு பெட்ரோல் மற்றும் டீசலை வழங்குகிறது. இது உள்ளூர் மற்றும் சுற்றுலா போக்குவரத்தை ஆதரிக்கிறது. இயக்க நேரங்களில் எரிபொருள் விநியோகிக்கப்படுகிறது. அடிப்படை விமான மற்றும் சேவை வசதிகள் கிடைக்கக்கூடும்.</v>
      </c>
      <c r="O222" s="10" t="str">
        <f>IFERROR(__xludf.DUMMYFUNCTION("GOOGLETRANSLATE(K222,""en"",""kn"")"),"ಇಂಡಿಯನ್ ಆಯಿಲ್ ಇಂಧನ ಕೇಂದ್ರವು ವಾಹನಗಳಿಗೆ ಪೆಟ್ರೋಲ್ ಮತ್ತು ಡೀಸೆಲ್ ಅನ್ನು ಒದಗಿಸುತ್ತದೆ. ಇದು ಸ್ಥಳೀಯ ಮತ್ತು ಪ್ರವಾಸಿ ಸಂಚಾರವನ್ನು ಬೆಂಬಲಿಸುತ್ತದೆ. ಕಾರ್ಯಾಚರಣೆಯ ಸಮಯದಲ್ಲಿ ಇಂಧನವನ್ನು ವಿತರಿಸಲಾಗುತ್ತದೆ. ಮೂಲಭೂತ ವಾಯು ಮತ್ತು ಸೇವಾ ಸೌಲಭ್ಯಗಳು ಲಭ್ಯವಿರಬಹುದು.")</f>
        <v>ಇಂಡಿಯನ್ ಆಯಿಲ್ ಇಂಧನ ಕೇಂದ್ರವು ವಾಹನಗಳಿಗೆ ಪೆಟ್ರೋಲ್ ಮತ್ತು ಡೀಸೆಲ್ ಅನ್ನು ಒದಗಿಸುತ್ತದೆ. ಇದು ಸ್ಥಳೀಯ ಮತ್ತು ಪ್ರವಾಸಿ ಸಂಚಾರವನ್ನು ಬೆಂಬಲಿಸುತ್ತದೆ. ಕಾರ್ಯಾಚರಣೆಯ ಸಮಯದಲ್ಲಿ ಇಂಧನವನ್ನು ವಿತರಿಸಲಾಗುತ್ತದೆ. ಮೂಲಭೂತ ವಾಯು ಮತ್ತು ಸೇವಾ ಸೌಲಭ್ಯಗಳು ಲಭ್ಯವಿರಬಹುದು.</v>
      </c>
      <c r="P222" s="10" t="str">
        <f>IFERROR(__xludf.DUMMYFUNCTION("GOOGLETRANSLATE(K222,""en"",""ml"")"),"ഇന്ത്യൻ ഓയിൽ ഇന്ധന സ്റ്റേഷൻ വാഹനങ്ങൾക്ക് പെട്രോളും ഡീസലും നൽകുന്നു. ഇത് പ്രാദേശിക, വിനോദസഞ്ചാര ഗതാഗതത്തെ പിന്തുണയ്ക്കുന്നു. പ്രവർത്തന സമയങ്ങളിൽ ഇന്ധനം വിതരണം ചെയ്യുന്നു. അടിസ്ഥാന വിമാന, സേവന സൗകര്യങ്ങൾ ലഭ്യമായേക്കാം.")</f>
        <v>ഇന്ത്യൻ ഓയിൽ ഇന്ധന സ്റ്റേഷൻ വാഹനങ്ങൾക്ക് പെട്രോളും ഡീസലും നൽകുന്നു. ഇത് പ്രാദേശിക, വിനോദസഞ്ചാര ഗതാഗതത്തെ പിന്തുണയ്ക്കുന്നു. പ്രവർത്തന സമയങ്ങളിൽ ഇന്ധനം വിതരണം ചെയ്യുന്നു. അടിസ്ഥാന വിമാന, സേവന സൗകര്യങ്ങൾ ലഭ്യമായേക്കാം.</v>
      </c>
    </row>
    <row r="223">
      <c r="A223" s="6">
        <f t="shared" si="1"/>
        <v>222</v>
      </c>
      <c r="B223" s="6" t="s">
        <v>780</v>
      </c>
      <c r="C223" s="6">
        <v>16.0677821</v>
      </c>
      <c r="D223" s="6">
        <v>78.8690348</v>
      </c>
      <c r="E223" s="5" t="s">
        <v>765</v>
      </c>
      <c r="F223" s="10" t="str">
        <f>IFERROR(__xludf.DUMMYFUNCTION("GOOGLETRANSLATE(B223,""en"",""te"")"),"శ్రీ గిరి ఫిల్లింగ్స్ భారత్ పెట్రోలియం")</f>
        <v>శ్రీ గిరి ఫిల్లింగ్స్ భారత్ పెట్రోలియం</v>
      </c>
      <c r="G223" s="8" t="s">
        <v>781</v>
      </c>
      <c r="H223" s="8" t="s">
        <v>782</v>
      </c>
      <c r="I223" s="8" t="s">
        <v>783</v>
      </c>
      <c r="J223" s="8" t="s">
        <v>784</v>
      </c>
      <c r="K223" s="12" t="s">
        <v>785</v>
      </c>
      <c r="L223" s="10" t="str">
        <f>IFERROR(__xludf.DUMMYFUNCTION("GOOGLETRANSLATE(K223,""en"",""te"")"),"ఈ భారత్ పెట్రోలియం ఇంధన స్టేషన్ పెట్రోల్ మరియు డీజిల్ సరఫరా చేస్తుంది. ఇది ప్రైవేట్ వాహనాలు మరియు బస్సులకు సేవలు అందిస్తుంది. సాధారణంగా ఉపయోగించే మార్గంలో ఉంది. కార్యకలాపాలు ప్రామాణిక ఇంధన స్టేషన్ సమయాలను అనుసరిస్తాయి.")</f>
        <v>ఈ భారత్ పెట్రోలియం ఇంధన స్టేషన్ పెట్రోల్ మరియు డీజిల్ సరఫరా చేస్తుంది. ఇది ప్రైవేట్ వాహనాలు మరియు బస్సులకు సేవలు అందిస్తుంది. సాధారణంగా ఉపయోగించే మార్గంలో ఉంది. కార్యకలాపాలు ప్రామాణిక ఇంధన స్టేషన్ సమయాలను అనుసరిస్తాయి.</v>
      </c>
      <c r="M223" s="10" t="str">
        <f>IFERROR(__xludf.DUMMYFUNCTION("GOOGLETRANSLATE(K223,""en"",""hi"")"),"यह भारत पेट्रोलियम पेट्रोल पंप पेट्रोल और डीजल उपलब्ध कराता है। यह निजी वाहनों और बसों दोनों के लिए सेवा प्रदान करता है। यह एक नियमित मार्ग पर स्थित है। संचालन मानक पेट्रोल पंप समय के अनुसार होता है।")</f>
        <v>यह भारत पेट्रोलियम पेट्रोल पंप पेट्रोल और डीजल उपलब्ध कराता है। यह निजी वाहनों और बसों दोनों के लिए सेवा प्रदान करता है। यह एक नियमित मार्ग पर स्थित है। संचालन मानक पेट्रोल पंप समय के अनुसार होता है।</v>
      </c>
      <c r="N223" s="10" t="str">
        <f>IFERROR(__xludf.DUMMYFUNCTION("GOOGLETRANSLATE(K223,""en"",""ta"")"),"இந்த பாரத் பெட்ரோலியம் எரிபொருள் நிலையம் பெட்ரோல் மற்றும் டீசலை வழங்குகிறது. இது தனியார் வாகனங்கள் மற்றும் பேருந்துகளுக்கு சேவை செய்கிறது. பொதுவாகப் பயன்படுத்தப்படும் பாதையில் அமைந்துள்ளது. செயல்பாடுகள் நிலையான எரிபொருள் நிலைய நேரங்களைப் பின்பற்றுகின்றன.")</f>
        <v>இந்த பாரத் பெட்ரோலியம் எரிபொருள் நிலையம் பெட்ரோல் மற்றும் டீசலை வழங்குகிறது. இது தனியார் வாகனங்கள் மற்றும் பேருந்துகளுக்கு சேவை செய்கிறது. பொதுவாகப் பயன்படுத்தப்படும் பாதையில் அமைந்துள்ளது. செயல்பாடுகள் நிலையான எரிபொருள் நிலைய நேரங்களைப் பின்பற்றுகின்றன.</v>
      </c>
      <c r="O223" s="10" t="str">
        <f>IFERROR(__xludf.DUMMYFUNCTION("GOOGLETRANSLATE(K223,""en"",""kn"")"),"ಈ ಭಾರತ್ ಪೆಟ್ರೋಲಿಯಂ ಇಂಧನ ಕೇಂದ್ರವು ಪೆಟ್ರೋಲ್ ಮತ್ತು ಡೀಸೆಲ್ ಅನ್ನು ಪೂರೈಸುತ್ತದೆ. ಇದು ಖಾಸಗಿ ವಾಹನಗಳು ಮತ್ತು ಬಸ್‌ಗಳಿಗೆ ಸೇವೆ ಸಲ್ಲಿಸುತ್ತದೆ. ಸಾಮಾನ್ಯವಾಗಿ ಬಳಸುವ ಮಾರ್ಗದಲ್ಲಿ ಇದೆ. ಕಾರ್ಯಾಚರಣೆಗಳು ಪ್ರಮಾಣಿತ ಇಂಧನ ಕೇಂದ್ರದ ಸಮಯವನ್ನು ಅನುಸರಿಸುತ್ತವೆ.")</f>
        <v>ಈ ಭಾರತ್ ಪೆಟ್ರೋಲಿಯಂ ಇಂಧನ ಕೇಂದ್ರವು ಪೆಟ್ರೋಲ್ ಮತ್ತು ಡೀಸೆಲ್ ಅನ್ನು ಪೂರೈಸುತ್ತದೆ. ಇದು ಖಾಸಗಿ ವಾಹನಗಳು ಮತ್ತು ಬಸ್‌ಗಳಿಗೆ ಸೇವೆ ಸಲ್ಲಿಸುತ್ತದೆ. ಸಾಮಾನ್ಯವಾಗಿ ಬಳಸುವ ಮಾರ್ಗದಲ್ಲಿ ಇದೆ. ಕಾರ್ಯಾಚರಣೆಗಳು ಪ್ರಮಾಣಿತ ಇಂಧನ ಕೇಂದ್ರದ ಸಮಯವನ್ನು ಅನುಸರಿಸುತ್ತವೆ.</v>
      </c>
      <c r="P223" s="10" t="str">
        <f>IFERROR(__xludf.DUMMYFUNCTION("GOOGLETRANSLATE(K223,""en"",""ml"")"),"ഈ ഭാരത് പെട്രോളിയം ഇന്ധന സ്റ്റേഷൻ പെട്രോളും ഡീസലും വിതരണം ചെയ്യുന്നു. സ്വകാര്യ വാഹനങ്ങൾക്കും ബസുകൾക്കും ഇത് സേവനം നൽകുന്നു. സാധാരണയായി ഉപയോഗിക്കുന്ന റൂട്ടിലാണ് ഇത് സ്ഥിതി ചെയ്യുന്നത്. സാധാരണ ഇന്ധന സ്റ്റേഷൻ സമയക്രമം പാലിച്ചാണ് പ്രവർത്തനങ്ങൾ നടത്തുന്നത്.")</f>
        <v>ഈ ഭാരത് പെട്രോളിയം ഇന്ധന സ്റ്റേഷൻ പെട്രോളും ഡീസലും വിതരണം ചെയ്യുന്നു. സ്വകാര്യ വാഹനങ്ങൾക്കും ബസുകൾക്കും ഇത് സേവനം നൽകുന്നു. സാധാരണയായി ഉപയോഗിക്കുന്ന റൂട്ടിലാണ് ഇത് സ്ഥിതി ചെയ്യുന്നത്. സാധാരണ ഇന്ധന സ്റ്റേഷൻ സമയക്രമം പാലിച്ചാണ് പ്രവർത്തനങ്ങൾ നടത്തുന്നത്.</v>
      </c>
    </row>
    <row r="224">
      <c r="A224" s="6">
        <f t="shared" si="1"/>
        <v>223</v>
      </c>
      <c r="B224" s="6" t="s">
        <v>786</v>
      </c>
      <c r="C224" s="6">
        <v>16.0745512</v>
      </c>
      <c r="D224" s="6">
        <v>78.8613957</v>
      </c>
      <c r="E224" s="5" t="s">
        <v>765</v>
      </c>
      <c r="F224" s="8" t="s">
        <v>787</v>
      </c>
      <c r="G224" s="10" t="str">
        <f>IFERROR(__xludf.DUMMYFUNCTION("GOOGLETRANSLATE(B224,""en"",""hi"")"),"एचडीएफसी बैंक")</f>
        <v>एचडीएफसी बैंक</v>
      </c>
      <c r="H224" s="10" t="str">
        <f>IFERROR(__xludf.DUMMYFUNCTION("GOOGLETRANSLATE(B224,""en"",""ta"")"),"HDFC வங்கி")</f>
        <v>HDFC வங்கி</v>
      </c>
      <c r="I224" s="10" t="str">
        <f>IFERROR(__xludf.DUMMYFUNCTION("GOOGLETRANSLATE(B224,""en"",""kn"")"),"ಹೆಚ್.ಡಿ.ಎಫ್.ಸಿ. ಬ್ಯಾಂಕ್")</f>
        <v>ಹೆಚ್.ಡಿ.ಎಫ್.ಸಿ. ಬ್ಯಾಂಕ್</v>
      </c>
      <c r="J224" s="10" t="str">
        <f>IFERROR(__xludf.DUMMYFUNCTION("GOOGLETRANSLATE(B224,""en"",""ml"")"),"എച്ച്ഡിഎഫ്സി ബാങ്ക്")</f>
        <v>എച്ച്ഡിഎഫ്സി ബാങ്ക്</v>
      </c>
      <c r="K224" s="12" t="s">
        <v>788</v>
      </c>
      <c r="L224" s="10" t="str">
        <f>IFERROR(__xludf.DUMMYFUNCTION("GOOGLETRANSLATE(K224,""en"",""te"")"),"HDFC బ్యాంక్ డిపాజిట్లు మరియు ఉపసంహరణలు వంటి బ్యాంకింగ్ సేవలను అందిస్తుంది. ఇది నివాసితులకు మరియు సందర్శకులకు సేవలు అందిస్తుంది. ATM యాక్సెస్ అందుబాటులో ఉండవచ్చు.")</f>
        <v>HDFC బ్యాంక్ డిపాజిట్లు మరియు ఉపసంహరణలు వంటి బ్యాంకింగ్ సేవలను అందిస్తుంది. ఇది నివాసితులకు మరియు సందర్శకులకు సేవలు అందిస్తుంది. ATM యాక్సెస్ అందుబాటులో ఉండవచ్చు.</v>
      </c>
      <c r="M224" s="10" t="str">
        <f>IFERROR(__xludf.DUMMYFUNCTION("GOOGLETRANSLATE(K224,""en"",""hi"")"),"एचडीएफसी बैंक जमा और निकासी जैसी बैंकिंग सेवाएं प्रदान करता है। यह स्थानीय निवासियों और आगंतुकों दोनों की सेवा करता है। एटीएम की सुविधा उपलब्ध हो सकती है।")</f>
        <v>एचडीएफसी बैंक जमा और निकासी जैसी बैंकिंग सेवाएं प्रदान करता है। यह स्थानीय निवासियों और आगंतुकों दोनों की सेवा करता है। एटीएम की सुविधा उपलब्ध हो सकती है।</v>
      </c>
      <c r="N224" s="10" t="str">
        <f>IFERROR(__xludf.DUMMYFUNCTION("GOOGLETRANSLATE(K224,""en"",""ta"")"),"HDFC வங்கி டெபாசிட் மற்றும் பணம் எடுப்பது போன்ற வங்கிச் சேவைகளை வழங்குகிறது. இது குடியிருப்பாளர்கள் மற்றும் பார்வையாளர்கள் இருவருக்கும் சேவை செய்கிறது. ATM அணுகல் கிடைக்கக்கூடும்.")</f>
        <v>HDFC வங்கி டெபாசிட் மற்றும் பணம் எடுப்பது போன்ற வங்கிச் சேவைகளை வழங்குகிறது. இது குடியிருப்பாளர்கள் மற்றும் பார்வையாளர்கள் இருவருக்கும் சேவை செய்கிறது. ATM அணுகல் கிடைக்கக்கூடும்.</v>
      </c>
      <c r="O224" s="10" t="str">
        <f>IFERROR(__xludf.DUMMYFUNCTION("GOOGLETRANSLATE(K224,""en"",""kn"")"),"HDFC ಬ್ಯಾಂಕ್ ಠೇವಣಿ ಮತ್ತು ಹಿಂಪಡೆಯುವಿಕೆಗಳಂತಹ ಬ್ಯಾಂಕಿಂಗ್ ಸೇವೆಗಳನ್ನು ನೀಡುತ್ತದೆ. ಇದು ನಿವಾಸಿಗಳು ಮತ್ತು ಸಂದರ್ಶಕರಿಗೆ ಸೇವೆ ಸಲ್ಲಿಸುತ್ತದೆ. ATM ಪ್ರವೇಶ ಲಭ್ಯವಿರಬಹುದು.")</f>
        <v>HDFC ಬ್ಯಾಂಕ್ ಠೇವಣಿ ಮತ್ತು ಹಿಂಪಡೆಯುವಿಕೆಗಳಂತಹ ಬ್ಯಾಂಕಿಂಗ್ ಸೇವೆಗಳನ್ನು ನೀಡುತ್ತದೆ. ಇದು ನಿವಾಸಿಗಳು ಮತ್ತು ಸಂದರ್ಶಕರಿಗೆ ಸೇವೆ ಸಲ್ಲಿಸುತ್ತದೆ. ATM ಪ್ರವೇಶ ಲಭ್ಯವಿರಬಹುದು.</v>
      </c>
      <c r="P224" s="10" t="str">
        <f>IFERROR(__xludf.DUMMYFUNCTION("GOOGLETRANSLATE(K224,""en"",""ml"")"),"HDFC ബാങ്ക് നിക്ഷേപങ്ങളും പിൻവലിക്കലുകളും പോലുള്ള ബാങ്കിംഗ് സേവനങ്ങൾ വാഗ്ദാനം ചെയ്യുന്നു. ഇത് താമസക്കാർക്കും സന്ദർശകർക്കും സേവനം നൽകുന്നു. ATM ആക്‌സസ് ലഭ്യമായേക്കാം.")</f>
        <v>HDFC ബാങ്ക് നിക്ഷേപങ്ങളും പിൻവലിക്കലുകളും പോലുള്ള ബാങ്കിംഗ് സേവനങ്ങൾ വാഗ്ദാനം ചെയ്യുന്നു. ഇത് താമസക്കാർക്കും സന്ദർശകർക്കും സേവനം നൽകുന്നു. ATM ആക്‌സസ് ലഭ്യമായേക്കാം.</v>
      </c>
    </row>
    <row r="225">
      <c r="A225" s="6">
        <f t="shared" si="1"/>
        <v>224</v>
      </c>
      <c r="B225" s="6" t="s">
        <v>789</v>
      </c>
      <c r="C225" s="6">
        <v>16.073745</v>
      </c>
      <c r="D225" s="6">
        <v>78.873696</v>
      </c>
      <c r="E225" s="5" t="s">
        <v>765</v>
      </c>
      <c r="F225" s="8" t="s">
        <v>790</v>
      </c>
      <c r="G225" s="10" t="str">
        <f>IFERROR(__xludf.DUMMYFUNCTION("GOOGLETRANSLATE(B225,""en"",""hi"")"),"यूनियन बैंक ऑफ इंडिया")</f>
        <v>यूनियन बैंक ऑफ इंडिया</v>
      </c>
      <c r="H225" s="8" t="s">
        <v>791</v>
      </c>
      <c r="I225" s="8" t="s">
        <v>792</v>
      </c>
      <c r="J225" s="8" t="s">
        <v>793</v>
      </c>
      <c r="K225" s="12" t="s">
        <v>794</v>
      </c>
      <c r="L225" s="10" t="str">
        <f>IFERROR(__xludf.DUMMYFUNCTION("GOOGLETRANSLATE(K225,""en"",""te"")"),"యూనియన్ బ్యాంక్ ఆఫ్ ఇండియా పబ్లిక్ బ్యాంకింగ్ సేవలను అందిస్తుంది. ఇది పొదుపు, ఉపసంహరణలు మరియు ఖాతా సేవలకు మద్దతు ఇస్తుంది. ఈ శాఖ సాధారణ బ్యాంకింగ్ రోజులలో పనిచేస్తుంది. ATM సేవలు జతచేయబడవచ్చు.")</f>
        <v>యూనియన్ బ్యాంక్ ఆఫ్ ఇండియా పబ్లిక్ బ్యాంకింగ్ సేవలను అందిస్తుంది. ఇది పొదుపు, ఉపసంహరణలు మరియు ఖాతా సేవలకు మద్దతు ఇస్తుంది. ఈ శాఖ సాధారణ బ్యాంకింగ్ రోజులలో పనిచేస్తుంది. ATM సేవలు జతచేయబడవచ్చు.</v>
      </c>
      <c r="M225" s="10" t="str">
        <f>IFERROR(__xludf.DUMMYFUNCTION("GOOGLETRANSLATE(K225,""en"",""hi"")"),"यूनियन बैंक ऑफ इंडिया सार्वजनिक बैंकिंग सेवाएं प्रदान करता है। यह बचत, निकासी और खाता संबंधी सेवाएं प्रदान करता है। शाखा नियमित बैंकिंग दिनों में कार्यरत रहती है। एटीएम सेवाएं भी उपलब्ध हो सकती हैं।")</f>
        <v>यूनियन बैंक ऑफ इंडिया सार्वजनिक बैंकिंग सेवाएं प्रदान करता है। यह बचत, निकासी और खाता संबंधी सेवाएं प्रदान करता है। शाखा नियमित बैंकिंग दिनों में कार्यरत रहती है। एटीएम सेवाएं भी उपलब्ध हो सकती हैं।</v>
      </c>
      <c r="N225" s="10" t="str">
        <f>IFERROR(__xludf.DUMMYFUNCTION("GOOGLETRANSLATE(K225,""en"",""ta"")"),"யூனியன் பாங்க் ஆஃப் இந்தியா பொது வங்கி சேவைகளை வழங்குகிறது. இது சேமிப்பு, பணம் எடுப்பு மற்றும் கணக்கு சேவைகளை ஆதரிக்கிறது. கிளை வழக்கமான வங்கி நாட்களில் செயல்படும். ஏடிஎம் சேவைகள் இணைக்கப்படலாம்.")</f>
        <v>யூனியன் பாங்க் ஆஃப் இந்தியா பொது வங்கி சேவைகளை வழங்குகிறது. இது சேமிப்பு, பணம் எடுப்பு மற்றும் கணக்கு சேவைகளை ஆதரிக்கிறது. கிளை வழக்கமான வங்கி நாட்களில் செயல்படும். ஏடிஎம் சேவைகள் இணைக்கப்படலாம்.</v>
      </c>
      <c r="O225" s="10" t="str">
        <f>IFERROR(__xludf.DUMMYFUNCTION("GOOGLETRANSLATE(K225,""en"",""kn"")"),"ಯೂನಿಯನ್ ಬ್ಯಾಂಕ್ ಆಫ್ ಇಂಡಿಯಾ ಸಾರ್ವಜನಿಕ ಬ್ಯಾಂಕಿಂಗ್ ಸೇವೆಗಳನ್ನು ಒದಗಿಸುತ್ತದೆ. ಇದು ಉಳಿತಾಯ, ಹಿಂಪಡೆಯುವಿಕೆ ಮತ್ತು ಖಾತೆ ಸೇವೆಗಳನ್ನು ಬೆಂಬಲಿಸುತ್ತದೆ. ಶಾಖೆಯು ನಿಯಮಿತ ಬ್ಯಾಂಕಿಂಗ್ ದಿನಗಳಲ್ಲಿ ಕಾರ್ಯನಿರ್ವಹಿಸುತ್ತದೆ. ಎಟಿಎಂ ಸೇವೆಗಳನ್ನು ಲಗತ್ತಿಸಬಹುದು.")</f>
        <v>ಯೂನಿಯನ್ ಬ್ಯಾಂಕ್ ಆಫ್ ಇಂಡಿಯಾ ಸಾರ್ವಜನಿಕ ಬ್ಯಾಂಕಿಂಗ್ ಸೇವೆಗಳನ್ನು ಒದಗಿಸುತ್ತದೆ. ಇದು ಉಳಿತಾಯ, ಹಿಂಪಡೆಯುವಿಕೆ ಮತ್ತು ಖಾತೆ ಸೇವೆಗಳನ್ನು ಬೆಂಬಲಿಸುತ್ತದೆ. ಶಾಖೆಯು ನಿಯಮಿತ ಬ್ಯಾಂಕಿಂಗ್ ದಿನಗಳಲ್ಲಿ ಕಾರ್ಯನಿರ್ವಹಿಸುತ್ತದೆ. ಎಟಿಎಂ ಸೇವೆಗಳನ್ನು ಲಗತ್ತಿಸಬಹುದು.</v>
      </c>
      <c r="P225" s="10" t="str">
        <f>IFERROR(__xludf.DUMMYFUNCTION("GOOGLETRANSLATE(K225,""en"",""ml"")"),"യൂണിയൻ ബാങ്ക് ഓഫ് ഇന്ത്യ പൊതു ബാങ്കിംഗ് സേവനങ്ങൾ നൽകുന്നു. ഇത് സേവിംഗ്സ്, പിൻവലിക്കലുകൾ, അക്കൗണ്ട് സേവനങ്ങൾ എന്നിവയെ പിന്തുണയ്ക്കുന്നു. ബ്രാഞ്ച് സാധാരണ ബാങ്കിംഗ് ദിവസങ്ങളിൽ പ്രവർത്തിക്കുന്നു. എടിഎം സേവനങ്ങൾ അറ്റാച്ചുചെയ്തേക്കാം.")</f>
        <v>യൂണിയൻ ബാങ്ക് ഓഫ് ഇന്ത്യ പൊതു ബാങ്കിംഗ് സേവനങ്ങൾ നൽകുന്നു. ഇത് സേവിംഗ്സ്, പിൻവലിക്കലുകൾ, അക്കൗണ്ട് സേവനങ്ങൾ എന്നിവയെ പിന്തുണയ്ക്കുന്നു. ബ്രാഞ്ച് സാധാരണ ബാങ്കിംഗ് ദിവസങ്ങളിൽ പ്രവർത്തിക്കുന്നു. എടിഎം സേവനങ്ങൾ അറ്റാച്ചുചെയ്തേക്കാം.</v>
      </c>
    </row>
    <row r="226">
      <c r="A226" s="6">
        <f t="shared" si="1"/>
        <v>225</v>
      </c>
      <c r="B226" s="6" t="s">
        <v>795</v>
      </c>
      <c r="C226" s="6">
        <v>16.0737049</v>
      </c>
      <c r="D226" s="6">
        <v>78.8738152</v>
      </c>
      <c r="E226" s="5" t="s">
        <v>765</v>
      </c>
      <c r="F226" s="10" t="str">
        <f>IFERROR(__xludf.DUMMYFUNCTION("GOOGLETRANSLATE(B226,""en"",""te"")"),"స్టేట్ బ్యాంక్ ఎటిఎం")</f>
        <v>స్టేట్ బ్యాంక్ ఎటిఎం</v>
      </c>
      <c r="G226" s="8" t="s">
        <v>796</v>
      </c>
      <c r="H226" s="8" t="s">
        <v>797</v>
      </c>
      <c r="I226" s="8" t="s">
        <v>798</v>
      </c>
      <c r="J226" s="8" t="s">
        <v>799</v>
      </c>
      <c r="K226" s="12" t="s">
        <v>800</v>
      </c>
      <c r="L226" s="10" t="str">
        <f>IFERROR(__xludf.DUMMYFUNCTION("GOOGLETRANSLATE(K226,""en"",""te"")"),"ఈ ATM నగదు ఉపసంహరణ సేవలను అందిస్తుంది. కార్డుదారులు చాలా సమయాల్లో దీనిని ఉపయోగించవచ్చు. యాత్రికులు మరియు పర్యాటకులకు ఉపయోగపడుతుంది.")</f>
        <v>ఈ ATM నగదు ఉపసంహరణ సేవలను అందిస్తుంది. కార్డుదారులు చాలా సమయాల్లో దీనిని ఉపయోగించవచ్చు. యాత్రికులు మరియు పర్యాటకులకు ఉపయోగపడుతుంది.</v>
      </c>
      <c r="M226" s="10" t="str">
        <f>IFERROR(__xludf.DUMMYFUNCTION("GOOGLETRANSLATE(K226,""en"",""hi"")"),"यह एटीएम नकदी निकासी की सुविधा प्रदान करता है। कार्डधारकों के लिए यह अधिकांश समय उपलब्ध रहता है। तीर्थयात्रियों और पर्यटकों के लिए उपयोगी।")</f>
        <v>यह एटीएम नकदी निकासी की सुविधा प्रदान करता है। कार्डधारकों के लिए यह अधिकांश समय उपलब्ध रहता है। तीर्थयात्रियों और पर्यटकों के लिए उपयोगी।</v>
      </c>
      <c r="N226" s="10" t="str">
        <f>IFERROR(__xludf.DUMMYFUNCTION("GOOGLETRANSLATE(K226,""en"",""ta"")"),"இந்த ஏடிஎம் பணம் எடுக்கும் சேவைகளை வழங்குகிறது. பெரும்பாலான நேரங்களில் அட்டை வைத்திருப்பவர்கள் இதை அணுகலாம். யாத்ரீகர்கள் மற்றும் சுற்றுலாப் பயணிகளுக்கு பயனுள்ளதாக இருக்கும்.")</f>
        <v>இந்த ஏடிஎம் பணம் எடுக்கும் சேவைகளை வழங்குகிறது. பெரும்பாலான நேரங்களில் அட்டை வைத்திருப்பவர்கள் இதை அணுகலாம். யாத்ரீகர்கள் மற்றும் சுற்றுலாப் பயணிகளுக்கு பயனுள்ளதாக இருக்கும்.</v>
      </c>
      <c r="O226" s="10" t="str">
        <f>IFERROR(__xludf.DUMMYFUNCTION("GOOGLETRANSLATE(K226,""en"",""kn"")"),"ಈ ಎಟಿಎಂ ನಗದು ಹಿಂಪಡೆಯುವಿಕೆ ಸೇವೆಗಳನ್ನು ಒದಗಿಸುತ್ತದೆ. ಕಾರ್ಡ್ ಹೊಂದಿರುವವರು ಹೆಚ್ಚಿನ ಸಮಯ ಇದನ್ನು ಪ್ರವೇಶಿಸಬಹುದು. ಯಾತ್ರಿಕರು ಮತ್ತು ಪ್ರವಾಸಿಗರಿಗೆ ಉಪಯುಕ್ತವಾಗಿದೆ.")</f>
        <v>ಈ ಎಟಿಎಂ ನಗದು ಹಿಂಪಡೆಯುವಿಕೆ ಸೇವೆಗಳನ್ನು ಒದಗಿಸುತ್ತದೆ. ಕಾರ್ಡ್ ಹೊಂದಿರುವವರು ಹೆಚ್ಚಿನ ಸಮಯ ಇದನ್ನು ಪ್ರವೇಶಿಸಬಹುದು. ಯಾತ್ರಿಕರು ಮತ್ತು ಪ್ರವಾಸಿಗರಿಗೆ ಉಪಯುಕ್ತವಾಗಿದೆ.</v>
      </c>
      <c r="P226" s="10" t="str">
        <f>IFERROR(__xludf.DUMMYFUNCTION("GOOGLETRANSLATE(K226,""en"",""ml"")"),"ഈ എടിഎം പണം പിൻവലിക്കൽ സേവനങ്ങൾ നൽകുന്നു. കാർഡ് ഉടമകൾക്ക് മിക്ക സമയങ്ങളിലും ഇത് ആക്‌സസ് ചെയ്യാൻ കഴിയും. തീർത്ഥാടകർക്കും വിനോദസഞ്ചാരികൾക്കും ഉപയോഗപ്രദമാണ്.")</f>
        <v>ഈ എടിഎം പണം പിൻവലിക്കൽ സേവനങ്ങൾ നൽകുന്നു. കാർഡ് ഉടമകൾക്ക് മിക്ക സമയങ്ങളിലും ഇത് ആക്‌സസ് ചെയ്യാൻ കഴിയും. തീർത്ഥാടകർക്കും വിനോദസഞ്ചാരികൾക്കും ഉപയോഗപ്രദമാണ്.</v>
      </c>
    </row>
    <row r="227">
      <c r="A227" s="6">
        <f t="shared" si="1"/>
        <v>226</v>
      </c>
      <c r="B227" s="6" t="s">
        <v>801</v>
      </c>
      <c r="C227" s="6">
        <v>16.0737081</v>
      </c>
      <c r="D227" s="6">
        <v>78.8739976</v>
      </c>
      <c r="E227" s="5" t="s">
        <v>765</v>
      </c>
      <c r="F227" s="10" t="str">
        <f>IFERROR(__xludf.DUMMYFUNCTION("GOOGLETRANSLATE(B227,""en"",""te"")"),"ఆంధ్రా బ్యాంక్ ఎటిఎం")</f>
        <v>ఆంధ్రా బ్యాంక్ ఎటిఎం</v>
      </c>
      <c r="G227" s="8" t="s">
        <v>802</v>
      </c>
      <c r="H227" s="8" t="s">
        <v>803</v>
      </c>
      <c r="I227" s="8" t="s">
        <v>804</v>
      </c>
      <c r="J227" s="8" t="s">
        <v>805</v>
      </c>
      <c r="K227" s="12" t="s">
        <v>806</v>
      </c>
      <c r="L227" s="10" t="str">
        <f>IFERROR(__xludf.DUMMYFUNCTION("GOOGLETRANSLATE(K227,""en"",""te"")"),"ఆంధ్రా బ్యాంక్ ATM ప్రాథమిక బ్యాంకింగ్ లావాదేవీలను అనుమతిస్తుంది. ఇది నగదు ఉపసంహరణలు మరియు బ్యాలెన్స్ తనిఖీలకు మద్దతు ఇస్తుంది. పట్టణ ప్రాంతంలో ఉంది. యాక్సెస్ సాధారణంగా 24 గంటలూ అందుబాటులో ఉంటుంది.")</f>
        <v>ఆంధ్రా బ్యాంక్ ATM ప్రాథమిక బ్యాంకింగ్ లావాదేవీలను అనుమతిస్తుంది. ఇది నగదు ఉపసంహరణలు మరియు బ్యాలెన్స్ తనిఖీలకు మద్దతు ఇస్తుంది. పట్టణ ప్రాంతంలో ఉంది. యాక్సెస్ సాధారణంగా 24 గంటలూ అందుబాటులో ఉంటుంది.</v>
      </c>
      <c r="M227" s="10" t="str">
        <f>IFERROR(__xludf.DUMMYFUNCTION("GOOGLETRANSLATE(K227,""en"",""hi"")"),"आंध्र बैंक का एटीएम बुनियादी बैंकिंग लेनदेन की सुविधा देता है। इससे नकदी निकाली जा सकती है और खाते में बैलेंस चेक किया जा सकता है। यह शहर के भीतर स्थित है और आमतौर पर चौबीसों घंटे उपलब्ध रहता है।")</f>
        <v>आंध्र बैंक का एटीएम बुनियादी बैंकिंग लेनदेन की सुविधा देता है। इससे नकदी निकाली जा सकती है और खाते में बैलेंस चेक किया जा सकता है। यह शहर के भीतर स्थित है और आमतौर पर चौबीसों घंटे उपलब्ध रहता है।</v>
      </c>
      <c r="N227" s="10" t="str">
        <f>IFERROR(__xludf.DUMMYFUNCTION("GOOGLETRANSLATE(K227,""en"",""ta"")"),"ஆந்திரா வங்கி ஏடிஎம் அடிப்படை வங்கி பரிவர்த்தனைகளை அனுமதிக்கிறது. இது பணம் எடுப்பதையும் இருப்பு சரிபார்ப்புகளையும் ஆதரிக்கிறது. நகரப் பகுதிக்குள் அமைந்துள்ளது. அணுகல் பொதுவாக 24 மணி நேரமும் கிடைக்கும்.")</f>
        <v>ஆந்திரா வங்கி ஏடிஎம் அடிப்படை வங்கி பரிவர்த்தனைகளை அனுமதிக்கிறது. இது பணம் எடுப்பதையும் இருப்பு சரிபார்ப்புகளையும் ஆதரிக்கிறது. நகரப் பகுதிக்குள் அமைந்துள்ளது. அணுகல் பொதுவாக 24 மணி நேரமும் கிடைக்கும்.</v>
      </c>
      <c r="O227" s="10" t="str">
        <f>IFERROR(__xludf.DUMMYFUNCTION("GOOGLETRANSLATE(K227,""en"",""kn"")"),"ಆಂಧ್ರ ಬ್ಯಾಂಕ್ ಎಟಿಎಂ ಮೂಲಭೂತ ಬ್ಯಾಂಕಿಂಗ್ ವಹಿವಾಟುಗಳನ್ನು ಅನುಮತಿಸುತ್ತದೆ. ಇದು ನಗದು ಹಿಂಪಡೆಯುವಿಕೆ ಮತ್ತು ಬ್ಯಾಲೆನ್ಸ್ ಚೆಕ್‌ಗಳನ್ನು ಬೆಂಬಲಿಸುತ್ತದೆ. ಪಟ್ಟಣ ಪ್ರದೇಶದಲ್ಲಿದೆ. ಪ್ರವೇಶವು ಸಾಮಾನ್ಯವಾಗಿ ದಿನದ 24 ಗಂಟೆಗಳ ಕಾಲ ಲಭ್ಯವಿದೆ.")</f>
        <v>ಆಂಧ್ರ ಬ್ಯಾಂಕ್ ಎಟಿಎಂ ಮೂಲಭೂತ ಬ್ಯಾಂಕಿಂಗ್ ವಹಿವಾಟುಗಳನ್ನು ಅನುಮತಿಸುತ್ತದೆ. ಇದು ನಗದು ಹಿಂಪಡೆಯುವಿಕೆ ಮತ್ತು ಬ್ಯಾಲೆನ್ಸ್ ಚೆಕ್‌ಗಳನ್ನು ಬೆಂಬಲಿಸುತ್ತದೆ. ಪಟ್ಟಣ ಪ್ರದೇಶದಲ್ಲಿದೆ. ಪ್ರವೇಶವು ಸಾಮಾನ್ಯವಾಗಿ ದಿನದ 24 ಗಂಟೆಗಳ ಕಾಲ ಲಭ್ಯವಿದೆ.</v>
      </c>
      <c r="P227" s="10" t="str">
        <f>IFERROR(__xludf.DUMMYFUNCTION("GOOGLETRANSLATE(K227,""en"",""ml"")"),"ആന്ധ്രാ ബാങ്ക് എടിഎം അടിസ്ഥാന ബാങ്കിംഗ് ഇടപാടുകൾ അനുവദിക്കുന്നു. പണം പിൻവലിക്കലുകളും ബാലൻസ് പരിശോധനകളും ഇത് പിന്തുണയ്ക്കുന്നു. നഗരപ്രദേശത്താണ് സ്ഥിതി ചെയ്യുന്നത്. സാധാരണയായി 24 മണിക്കൂറും ആക്‌സസ് ലഭ്യമാണ്.")</f>
        <v>ആന്ധ്രാ ബാങ്ക് എടിഎം അടിസ്ഥാന ബാങ്കിംഗ് ഇടപാടുകൾ അനുവദിക്കുന്നു. പണം പിൻവലിക്കലുകളും ബാലൻസ് പരിശോധനകളും ഇത് പിന്തുണയ്ക്കുന്നു. നഗരപ്രദേശത്താണ് സ്ഥിതി ചെയ്യുന്നത്. സാധാരണയായി 24 മണിക്കൂറും ആക്‌സസ് ലഭ്യമാണ്.</v>
      </c>
    </row>
    <row r="228">
      <c r="A228" s="6">
        <f t="shared" si="1"/>
        <v>227</v>
      </c>
      <c r="B228" s="6" t="s">
        <v>807</v>
      </c>
      <c r="C228" s="6">
        <v>16.0722745</v>
      </c>
      <c r="D228" s="6">
        <v>78.8685228</v>
      </c>
      <c r="E228" s="5" t="s">
        <v>765</v>
      </c>
      <c r="F228" s="8" t="s">
        <v>808</v>
      </c>
      <c r="G228" s="8" t="s">
        <v>809</v>
      </c>
      <c r="H228" s="8" t="s">
        <v>810</v>
      </c>
      <c r="I228" s="8" t="s">
        <v>811</v>
      </c>
      <c r="J228" s="8" t="s">
        <v>812</v>
      </c>
      <c r="K228" s="12" t="s">
        <v>813</v>
      </c>
      <c r="L228" s="10" t="str">
        <f>IFERROR(__xludf.DUMMYFUNCTION("GOOGLETRANSLATE(K228,""en"",""te"")"),"ఈ సౌకర్యం సందర్శకులకు ఉచితంగా తాగునీటిని అందిస్తుంది. ఇది యాత్రికులు హైడ్రేటెడ్‌గా ఉండటానికి సహాయపడుతుంది. నీటి లభ్యత కాలాన్ని బట్టి మారవచ్చు.")</f>
        <v>ఈ సౌకర్యం సందర్శకులకు ఉచితంగా తాగునీటిని అందిస్తుంది. ఇది యాత్రికులు హైడ్రేటెడ్‌గా ఉండటానికి సహాయపడుతుంది. నీటి లభ్యత కాలాన్ని బట్టి మారవచ్చు.</v>
      </c>
      <c r="M228" s="10" t="str">
        <f>IFERROR(__xludf.DUMMYFUNCTION("GOOGLETRANSLATE(K228,""en"",""hi"")"),"यह सुविधा आगंतुकों को निःशुल्क पेयजल उपलब्ध कराती है। इससे तीर्थयात्रियों को हाइड्रेटेड रहने में मदद मिलती है। पानी की उपलब्धता समय के साथ बदल सकती है।")</f>
        <v>यह सुविधा आगंतुकों को निःशुल्क पेयजल उपलब्ध कराती है। इससे तीर्थयात्रियों को हाइड्रेटेड रहने में मदद मिलती है। पानी की उपलब्धता समय के साथ बदल सकती है।</v>
      </c>
      <c r="N228" s="10" t="str">
        <f>IFERROR(__xludf.DUMMYFUNCTION("GOOGLETRANSLATE(K228,""en"",""ta"")"),"இந்த வசதி பார்வையாளர்களுக்கு இலவச குடிநீர் வழங்குகிறது. இது யாத்ரீகர்கள் நீரேற்றத்துடன் இருக்க உதவுகிறது. நீர் கிடைக்கும் தன்மை காலத்திற்கு ஏற்ப மாறுபடும்.")</f>
        <v>இந்த வசதி பார்வையாளர்களுக்கு இலவச குடிநீர் வழங்குகிறது. இது யாத்ரீகர்கள் நீரேற்றத்துடன் இருக்க உதவுகிறது. நீர் கிடைக்கும் தன்மை காலத்திற்கு ஏற்ப மாறுபடும்.</v>
      </c>
      <c r="O228" s="10" t="str">
        <f>IFERROR(__xludf.DUMMYFUNCTION("GOOGLETRANSLATE(K228,""en"",""kn"")"),"ಈ ಸೌಲಭ್ಯವು ಸಂದರ್ಶಕರಿಗೆ ಉಚಿತ ಕುಡಿಯುವ ನೀರನ್ನು ಒದಗಿಸುತ್ತದೆ. ಇದು ಯಾತ್ರಿಕರಿಗೆ ನೀರಿನಂಶವನ್ನು ಕಾಪಾಡಿಕೊಳ್ಳಲು ಸಹಾಯ ಮಾಡುತ್ತದೆ. ನೀರಿನ ಲಭ್ಯತೆಯು ಸಮಯಕ್ಕೆ ಅನುಗುಣವಾಗಿ ಬದಲಾಗಬಹುದು.")</f>
        <v>ಈ ಸೌಲಭ್ಯವು ಸಂದರ್ಶಕರಿಗೆ ಉಚಿತ ಕುಡಿಯುವ ನೀರನ್ನು ಒದಗಿಸುತ್ತದೆ. ಇದು ಯಾತ್ರಿಕರಿಗೆ ನೀರಿನಂಶವನ್ನು ಕಾಪಾಡಿಕೊಳ್ಳಲು ಸಹಾಯ ಮಾಡುತ್ತದೆ. ನೀರಿನ ಲಭ್ಯತೆಯು ಸಮಯಕ್ಕೆ ಅನುಗುಣವಾಗಿ ಬದಲಾಗಬಹುದು.</v>
      </c>
      <c r="P228" s="10" t="str">
        <f>IFERROR(__xludf.DUMMYFUNCTION("GOOGLETRANSLATE(K228,""en"",""ml"")"),"ഈ സൗകര്യം സന്ദർശകർക്ക് സൗജന്യ കുടിവെള്ളം നൽകുന്നു. തീർത്ഥാടകർക്ക് ജലാംശം നിലനിർത്താൻ ഇത് സഹായിക്കുന്നു. ജലലഭ്യത കാലത്തിനനുസരിച്ച് വ്യത്യാസപ്പെടാം.")</f>
        <v>ഈ സൗകര്യം സന്ദർശകർക്ക് സൗജന്യ കുടിവെള്ളം നൽകുന്നു. തീർത്ഥാടകർക്ക് ജലാംശം നിലനിർത്താൻ ഇത് സഹായിക്കുന്നു. ജലലഭ്യത കാലത്തിനനുസരിച്ച് വ്യത്യാസപ്പെടാം.</v>
      </c>
    </row>
    <row r="229">
      <c r="A229" s="6">
        <f t="shared" si="1"/>
        <v>228</v>
      </c>
      <c r="B229" s="6" t="s">
        <v>814</v>
      </c>
      <c r="C229" s="6">
        <v>16.0760884</v>
      </c>
      <c r="D229" s="6">
        <v>78.8697203</v>
      </c>
      <c r="E229" s="5" t="s">
        <v>765</v>
      </c>
      <c r="F229" s="8" t="s">
        <v>815</v>
      </c>
      <c r="G229" s="8" t="s">
        <v>816</v>
      </c>
      <c r="H229" s="8" t="s">
        <v>817</v>
      </c>
      <c r="I229" s="8" t="s">
        <v>818</v>
      </c>
      <c r="J229" s="8" t="s">
        <v>819</v>
      </c>
      <c r="K229" s="12" t="s">
        <v>820</v>
      </c>
      <c r="L229" s="10" t="str">
        <f>IFERROR(__xludf.DUMMYFUNCTION("GOOGLETRANSLATE(K229,""en"",""te"")"),"సందర్శకుల సౌకర్యార్థం పబ్లిక్ టాయిలెట్లు మరియు బాత్రూమ్‌లు అందించబడ్డాయి. అవి రద్దీగా ఉండే ప్రాంతాలకు సమీపంలో ఉన్నాయి. నిర్వహణ క్రమం తప్పకుండా జరుగుతుంది.")</f>
        <v>సందర్శకుల సౌకర్యార్థం పబ్లిక్ టాయిలెట్లు మరియు బాత్రూమ్‌లు అందించబడ్డాయి. అవి రద్దీగా ఉండే ప్రాంతాలకు సమీపంలో ఉన్నాయి. నిర్వహణ క్రమం తప్పకుండా జరుగుతుంది.</v>
      </c>
      <c r="M229" s="10" t="str">
        <f>IFERROR(__xludf.DUMMYFUNCTION("GOOGLETRANSLATE(K229,""en"",""hi"")"),"आगंतुकों की सुविधा के लिए सार्वजनिक शौचालय और स्नानघर उपलब्ध कराए गए हैं। ये व्यस्त क्षेत्रों के पास स्थित हैं। इनका नियमित रखरखाव किया जाता है।")</f>
        <v>आगंतुकों की सुविधा के लिए सार्वजनिक शौचालय और स्नानघर उपलब्ध कराए गए हैं। ये व्यस्त क्षेत्रों के पास स्थित हैं। इनका नियमित रखरखाव किया जाता है।</v>
      </c>
      <c r="N229" s="10" t="str">
        <f>IFERROR(__xludf.DUMMYFUNCTION("GOOGLETRANSLATE(K229,""en"",""ta"")"),"பார்வையாளர்களின் வசதிக்காக பொது கழிப்பறைகள் மற்றும் குளியலறைகள் வழங்கப்பட்டுள்ளன. அவை பரபரப்பான பகுதிகளுக்கு அருகில் அமைந்துள்ளன. பராமரிப்பு தொடர்ந்து செய்யப்படுகிறது.")</f>
        <v>பார்வையாளர்களின் வசதிக்காக பொது கழிப்பறைகள் மற்றும் குளியலறைகள் வழங்கப்பட்டுள்ளன. அவை பரபரப்பான பகுதிகளுக்கு அருகில் அமைந்துள்ளன. பராமரிப்பு தொடர்ந்து செய்யப்படுகிறது.</v>
      </c>
      <c r="O229" s="10" t="str">
        <f>IFERROR(__xludf.DUMMYFUNCTION("GOOGLETRANSLATE(K229,""en"",""kn"")"),"ಸಾರ್ವಜನಿಕ ಶೌಚಾಲಯಗಳು ಮತ್ತು ಸ್ನಾನಗೃಹಗಳನ್ನು ಸಂದರ್ಶಕರ ಅನುಕೂಲಕ್ಕಾಗಿ ಒದಗಿಸಲಾಗಿದೆ. ಅವು ಜನದಟ್ಟಣೆಯ ಪ್ರದೇಶಗಳ ಬಳಿ ಇವೆ. ನಿರ್ವಹಣೆಯನ್ನು ನಿಯಮಿತವಾಗಿ ಮಾಡಲಾಗುತ್ತದೆ.")</f>
        <v>ಸಾರ್ವಜನಿಕ ಶೌಚಾಲಯಗಳು ಮತ್ತು ಸ್ನಾನಗೃಹಗಳನ್ನು ಸಂದರ್ಶಕರ ಅನುಕೂಲಕ್ಕಾಗಿ ಒದಗಿಸಲಾಗಿದೆ. ಅವು ಜನದಟ್ಟಣೆಯ ಪ್ರದೇಶಗಳ ಬಳಿ ಇವೆ. ನಿರ್ವಹಣೆಯನ್ನು ನಿಯಮಿತವಾಗಿ ಮಾಡಲಾಗುತ್ತದೆ.</v>
      </c>
      <c r="P229" s="10" t="str">
        <f>IFERROR(__xludf.DUMMYFUNCTION("GOOGLETRANSLATE(K229,""en"",""ml"")"),"സന്ദർശകരുടെ സൗകര്യാർത്ഥം പൊതു ടോയ്‌ലറ്റുകളും കുളിമുറികളും ഒരുക്കിയിട്ടുണ്ട്. തിരക്കേറിയ സ്ഥലങ്ങൾക്ക് സമീപമാണ് അവ സ്ഥിതി ചെയ്യുന്നത്. അറ്റകുറ്റപ്പണികൾ പതിവായി നടത്തുന്നു.")</f>
        <v>സന്ദർശകരുടെ സൗകര്യാർത്ഥം പൊതു ടോയ്‌ലറ്റുകളും കുളിമുറികളും ഒരുക്കിയിട്ടുണ്ട്. തിരക്കേറിയ സ്ഥലങ്ങൾക്ക് സമീപമാണ് അവ സ്ഥിതി ചെയ്യുന്നത്. അറ്റകുറ്റപ്പണികൾ പതിവായി നടത്തുന്നു.</v>
      </c>
    </row>
    <row r="230">
      <c r="A230" s="6">
        <f t="shared" si="1"/>
        <v>229</v>
      </c>
      <c r="B230" s="6" t="s">
        <v>821</v>
      </c>
      <c r="C230" s="6">
        <v>16.0778898</v>
      </c>
      <c r="D230" s="6">
        <v>78.8769499</v>
      </c>
      <c r="E230" s="5" t="s">
        <v>765</v>
      </c>
      <c r="F230" s="8" t="s">
        <v>822</v>
      </c>
      <c r="G230" s="8" t="s">
        <v>823</v>
      </c>
      <c r="H230" s="8" t="s">
        <v>824</v>
      </c>
      <c r="I230" s="8" t="s">
        <v>825</v>
      </c>
      <c r="J230" s="8" t="s">
        <v>826</v>
      </c>
      <c r="K230" s="12" t="s">
        <v>827</v>
      </c>
      <c r="L230" s="10" t="str">
        <f>IFERROR(__xludf.DUMMYFUNCTION("GOOGLETRANSLATE(K230,""en"",""te"")"),"ఈ వాష్‌రూమ్ సౌకర్యం మహిళల కోసం కేటాయించబడింది. ఇది చెల్లింపు మరియు వినియోగ ప్రాతిపదికన పనిచేస్తుంది. శుభ్రత క్రమం తప్పకుండా నిర్వహించబడుతుంది. సమయాలు మారవచ్చు.")</f>
        <v>ఈ వాష్‌రూమ్ సౌకర్యం మహిళల కోసం కేటాయించబడింది. ఇది చెల్లింపు మరియు వినియోగ ప్రాతిపదికన పనిచేస్తుంది. శుభ్రత క్రమం తప్పకుండా నిర్వహించబడుతుంది. సమయాలు మారవచ్చు.</v>
      </c>
      <c r="M230" s="10" t="str">
        <f>IFERROR(__xludf.DUMMYFUNCTION("GOOGLETRANSLATE(K230,""en"",""hi"")"),"यह शौचालय केवल महिलाओं के लिए है। इसका उपयोग करने के लिए भुगतान करना होगा। यहाँ नियमित रूप से स्वच्छता बनाए रखी जाती है। समय में बदलाव हो सकता है।")</f>
        <v>यह शौचालय केवल महिलाओं के लिए है। इसका उपयोग करने के लिए भुगतान करना होगा। यहाँ नियमित रूप से स्वच्छता बनाए रखी जाती है। समय में बदलाव हो सकता है।</v>
      </c>
      <c r="N230" s="10" t="str">
        <f>IFERROR(__xludf.DUMMYFUNCTION("GOOGLETRANSLATE(K230,""en"",""ta"")"),"இந்த கழிப்பறை வசதி பெண்களுக்காகவே வடிவமைக்கப்பட்டுள்ளது. இது கட்டணம் செலுத்தி பயன்படுத்தும் அடிப்படையில் செயல்படுகிறது. சுத்தம் தொடர்ந்து பராமரிக்கப்படுகிறது. நேரங்கள் மாறுபடலாம்.")</f>
        <v>இந்த கழிப்பறை வசதி பெண்களுக்காகவே வடிவமைக்கப்பட்டுள்ளது. இது கட்டணம் செலுத்தி பயன்படுத்தும் அடிப்படையில் செயல்படுகிறது. சுத்தம் தொடர்ந்து பராமரிக்கப்படுகிறது. நேரங்கள் மாறுபடலாம்.</v>
      </c>
      <c r="O230" s="10" t="str">
        <f>IFERROR(__xludf.DUMMYFUNCTION("GOOGLETRANSLATE(K230,""en"",""kn"")"),"ಈ ಶೌಚಾಲಯ ಸೌಲಭ್ಯವು ಮಹಿಳೆಯರಿಗಾಗಿಯೇ ಮೀಸಲಾಗಿದೆ. ಇದು ಹಣ ಪಾವತಿಸಿ ಬಳಸುವ ಆಧಾರದ ಮೇಲೆ ಕಾರ್ಯನಿರ್ವಹಿಸುತ್ತದೆ. ಸ್ವಚ್ಛತೆಯನ್ನು ನಿಯಮಿತವಾಗಿ ನಿರ್ವಹಿಸಲಾಗುತ್ತದೆ. ಸಮಯ ಬದಲಾಗಬಹುದು.")</f>
        <v>ಈ ಶೌಚಾಲಯ ಸೌಲಭ್ಯವು ಮಹಿಳೆಯರಿಗಾಗಿಯೇ ಮೀಸಲಾಗಿದೆ. ಇದು ಹಣ ಪಾವತಿಸಿ ಬಳಸುವ ಆಧಾರದ ಮೇಲೆ ಕಾರ್ಯನಿರ್ವಹಿಸುತ್ತದೆ. ಸ್ವಚ್ಛತೆಯನ್ನು ನಿಯಮಿತವಾಗಿ ನಿರ್ವಹಿಸಲಾಗುತ್ತದೆ. ಸಮಯ ಬದಲಾಗಬಹುದು.</v>
      </c>
      <c r="P230" s="10" t="str">
        <f>IFERROR(__xludf.DUMMYFUNCTION("GOOGLETRANSLATE(K230,""en"",""ml"")"),"ഈ ശുചിമുറി സൗകര്യം സ്ത്രീകൾക്കായി പ്രത്യേകം രൂപകൽപ്പന ചെയ്തിട്ടുള്ളതാണ്. പണം നൽകി ഉപയോഗിക്കാവുന്ന രീതിയിലാണ് ഇത് പ്രവർത്തിക്കുന്നത്. ശുചിത്വം പതിവായി പരിപാലിക്കപ്പെടുന്നു. സമയക്രമം വ്യത്യാസപ്പെടാം.")</f>
        <v>ഈ ശുചിമുറി സൗകര്യം സ്ത്രീകൾക്കായി പ്രത്യേകം രൂപകൽപ്പന ചെയ്തിട്ടുള്ളതാണ്. പണം നൽകി ഉപയോഗിക്കാവുന്ന രീതിയിലാണ് ഇത് പ്രവർത്തിക്കുന്നത്. ശുചിത്വം പതിവായി പരിപാലിക്കപ്പെടുന്നു. സമയക്രമം വ്യത്യാസപ്പെടാം.</v>
      </c>
    </row>
    <row r="231">
      <c r="A231" s="6">
        <f t="shared" si="1"/>
        <v>230</v>
      </c>
      <c r="B231" s="6" t="s">
        <v>828</v>
      </c>
      <c r="C231" s="6">
        <v>16.0751076</v>
      </c>
      <c r="D231" s="6">
        <v>78.8738571</v>
      </c>
      <c r="E231" s="5" t="s">
        <v>765</v>
      </c>
      <c r="F231" s="8" t="s">
        <v>829</v>
      </c>
      <c r="G231" s="8" t="s">
        <v>830</v>
      </c>
      <c r="H231" s="8" t="s">
        <v>831</v>
      </c>
      <c r="I231" s="8" t="s">
        <v>832</v>
      </c>
      <c r="J231" s="8" t="s">
        <v>833</v>
      </c>
      <c r="K231" s="12" t="s">
        <v>834</v>
      </c>
      <c r="L231" s="10" t="str">
        <f>IFERROR(__xludf.DUMMYFUNCTION("GOOGLETRANSLATE(K231,""en"",""te"")"),"ఇన్ఫినిటీ కూల్ డ్రింక్స్ శీతల పానీయాలు మరియు రిఫ్రెష్మెంట్లను విక్రయిస్తుంది. సేవ త్వరగా లభిస్తుంది. సీటింగ్ పరిమితం కావచ్చు.")</f>
        <v>ఇన్ఫినిటీ కూల్ డ్రింక్స్ శీతల పానీయాలు మరియు రిఫ్రెష్మెంట్లను విక్రయిస్తుంది. సేవ త్వరగా లభిస్తుంది. సీటింగ్ పరిమితం కావచ్చు.</v>
      </c>
      <c r="M231" s="10" t="str">
        <f>IFERROR(__xludf.DUMMYFUNCTION("GOOGLETRANSLATE(K231,""en"",""hi"")"),"इनफिनिटी कूल ड्रिंक्स ठंडे पेय पदार्थ और जलपान बेचता है। सेवा त्वरित है। बैठने की जगह सीमित हो सकती है।")</f>
        <v>इनफिनिटी कूल ड्रिंक्स ठंडे पेय पदार्थ और जलपान बेचता है। सेवा त्वरित है। बैठने की जगह सीमित हो सकती है।</v>
      </c>
      <c r="N231" s="10" t="str">
        <f>IFERROR(__xludf.DUMMYFUNCTION("GOOGLETRANSLATE(K231,""en"",""ta"")"),"இன்ஃபினிட்டி கூல் டிரிங்க்ஸ் குளிர் பானங்கள் மற்றும் சிற்றுண்டிகளை விற்கிறது. சேவை விரைவானது. இருக்கைகள் குறைவாக இருக்கலாம்.")</f>
        <v>இன்ஃபினிட்டி கூல் டிரிங்க்ஸ் குளிர் பானங்கள் மற்றும் சிற்றுண்டிகளை விற்கிறது. சேவை விரைவானது. இருக்கைகள் குறைவாக இருக்கலாம்.</v>
      </c>
      <c r="O231" s="10" t="str">
        <f>IFERROR(__xludf.DUMMYFUNCTION("GOOGLETRANSLATE(K231,""en"",""kn"")"),"ಇನ್ಫಿನಿಟಿ ಕೂಲ್ ಡ್ರಿಂಕ್ಸ್ ತಂಪು ಪಾನೀಯಗಳು ಮತ್ತು ಉಪಾಹಾರಗಳನ್ನು ಮಾರಾಟ ಮಾಡುತ್ತದೆ. ಸೇವೆ ತ್ವರಿತವಾಗಿದೆ. ಆಸನಗಳು ಸೀಮಿತವಾಗಿರಬಹುದು.")</f>
        <v>ಇನ್ಫಿನಿಟಿ ಕೂಲ್ ಡ್ರಿಂಕ್ಸ್ ತಂಪು ಪಾನೀಯಗಳು ಮತ್ತು ಉಪಾಹಾರಗಳನ್ನು ಮಾರಾಟ ಮಾಡುತ್ತದೆ. ಸೇವೆ ತ್ವರಿತವಾಗಿದೆ. ಆಸನಗಳು ಸೀಮಿತವಾಗಿರಬಹುದು.</v>
      </c>
      <c r="P231" s="10" t="str">
        <f>IFERROR(__xludf.DUMMYFUNCTION("GOOGLETRANSLATE(K231,""en"",""ml"")"),"ഇൻഫിനിറ്റി കൂൾ ഡ്രിങ്ക്‌സ് ശീതളപാനീയങ്ങളും ലഘുഭക്ഷണങ്ങളും വിൽക്കുന്നു. സേവനം വേഗത്തിലാണ്. ഇരിപ്പിടങ്ങൾ പരിമിതമായിരിക്കാം.")</f>
        <v>ഇൻഫിനിറ്റി കൂൾ ഡ്രിങ്ക്‌സ് ശീതളപാനീയങ്ങളും ലഘുഭക്ഷണങ്ങളും വിൽക്കുന്നു. സേവനം വേഗത്തിലാണ്. ഇരിപ്പിടങ്ങൾ പരിമിതമായിരിക്കാം.</v>
      </c>
    </row>
    <row r="232">
      <c r="A232" s="6">
        <f t="shared" si="1"/>
        <v>231</v>
      </c>
      <c r="B232" s="6" t="s">
        <v>835</v>
      </c>
      <c r="C232" s="6">
        <v>16.074067</v>
      </c>
      <c r="D232" s="6">
        <v>78.8712379</v>
      </c>
      <c r="E232" s="5" t="s">
        <v>765</v>
      </c>
      <c r="F232" s="8" t="s">
        <v>836</v>
      </c>
      <c r="G232" s="8" t="s">
        <v>837</v>
      </c>
      <c r="H232" s="8" t="s">
        <v>838</v>
      </c>
      <c r="I232" s="8" t="s">
        <v>839</v>
      </c>
      <c r="J232" s="8" t="s">
        <v>840</v>
      </c>
      <c r="K232" s="12" t="s">
        <v>841</v>
      </c>
      <c r="L232" s="10" t="str">
        <f>IFERROR(__xludf.DUMMYFUNCTION("GOOGLETRANSLATE(K232,""en"",""te"")"),"ఈ దుకాణం కూల్ డ్రింక్స్ మరియు సాధారణ రోజువారీ వినియోగ వస్తువులను అందిస్తుంది. ఇది త్వరిత కొనుగోలు అవసరాలను తీరుస్తుంది.")</f>
        <v>ఈ దుకాణం కూల్ డ్రింక్స్ మరియు సాధారణ రోజువారీ వినియోగ వస్తువులను అందిస్తుంది. ఇది త్వరిత కొనుగోలు అవసరాలను తీరుస్తుంది.</v>
      </c>
      <c r="M232" s="10" t="str">
        <f>IFERROR(__xludf.DUMMYFUNCTION("GOOGLETRANSLATE(K232,""en"",""hi"")"),"यह दुकान ठंडे पेय पदार्थ और रोजमर्रा के उपयोग की सामान्य वस्तुएं बेचती है। यह त्वरित खरीदारी की जरूरतों को पूरा करती है।")</f>
        <v>यह दुकान ठंडे पेय पदार्थ और रोजमर्रा के उपयोग की सामान्य वस्तुएं बेचती है। यह त्वरित खरीदारी की जरूरतों को पूरा करती है।</v>
      </c>
      <c r="N232" s="10" t="str">
        <f>IFERROR(__xludf.DUMMYFUNCTION("GOOGLETRANSLATE(K232,""en"",""ta"")"),"இந்தக் கடை குளிர்பானங்கள் மற்றும் அன்றாடப் பயன்பாட்டுப் பொருட்களை வழங்குகிறது. விரைவான கொள்முதல் தேவைகளுக்கு இது சேவை செய்கிறது.")</f>
        <v>இந்தக் கடை குளிர்பானங்கள் மற்றும் அன்றாடப் பயன்பாட்டுப் பொருட்களை வழங்குகிறது. விரைவான கொள்முதல் தேவைகளுக்கு இது சேவை செய்கிறது.</v>
      </c>
      <c r="O232" s="10" t="str">
        <f>IFERROR(__xludf.DUMMYFUNCTION("GOOGLETRANSLATE(K232,""en"",""kn"")"),"ಈ ಅಂಗಡಿಯು ತಂಪು ಪಾನೀಯಗಳು ಮತ್ತು ಸಾಮಾನ್ಯ ದಿನನಿತ್ಯದ ಬಳಕೆಯ ವಸ್ತುಗಳನ್ನು ನೀಡುತ್ತದೆ. ಇದು ತ್ವರಿತ ಖರೀದಿ ಅಗತ್ಯಗಳನ್ನು ಪೂರೈಸುತ್ತದೆ.")</f>
        <v>ಈ ಅಂಗಡಿಯು ತಂಪು ಪಾನೀಯಗಳು ಮತ್ತು ಸಾಮಾನ್ಯ ದಿನನಿತ್ಯದ ಬಳಕೆಯ ವಸ್ತುಗಳನ್ನು ನೀಡುತ್ತದೆ. ಇದು ತ್ವರಿತ ಖರೀದಿ ಅಗತ್ಯಗಳನ್ನು ಪೂರೈಸುತ್ತದೆ.</v>
      </c>
      <c r="P232" s="10" t="str">
        <f>IFERROR(__xludf.DUMMYFUNCTION("GOOGLETRANSLATE(K232,""en"",""ml"")"),"ഈ കടയിൽ കൂൾ ഡ്രിങ്കുകളും ദൈനംദിന ഉപയോഗത്തിനുള്ള പൊതുവായ വസ്തുക്കളും ലഭ്യമാണ്. പെട്ടെന്നുള്ള വാങ്ങലുകൾക്കായി ഇത് സേവനം നൽകുന്നു.")</f>
        <v>ഈ കടയിൽ കൂൾ ഡ്രിങ്കുകളും ദൈനംദിന ഉപയോഗത്തിനുള്ള പൊതുവായ വസ്തുക്കളും ലഭ്യമാണ്. പെട്ടെന്നുള്ള വാങ്ങലുകൾക്കായി ഇത് സേവനം നൽകുന്നു.</v>
      </c>
    </row>
    <row r="233">
      <c r="A233" s="6">
        <f t="shared" si="1"/>
        <v>232</v>
      </c>
      <c r="B233" s="6" t="s">
        <v>842</v>
      </c>
      <c r="C233" s="6">
        <v>16.0755552</v>
      </c>
      <c r="D233" s="6">
        <v>78.8744407</v>
      </c>
      <c r="E233" s="5" t="s">
        <v>765</v>
      </c>
      <c r="F233" s="10" t="str">
        <f>IFERROR(__xludf.DUMMYFUNCTION("GOOGLETRANSLATE(B233,""en"",""te"")"),"కనకా దుర్గా డిజిటల్ స్టూడియో &amp; జిరాక్స్‌")</f>
        <v>కనకా దుర్గా డిజిటల్ స్టూడియో &amp; జిరాక్స్‌</v>
      </c>
      <c r="G233" s="10" t="str">
        <f>IFERROR(__xludf.DUMMYFUNCTION("GOOGLETRANSLATE(B233,""en"",""hi"")"),"कनका दुर्गा डिजिटल स्टूडियो और ज़ेरॉक्स")</f>
        <v>कनका दुर्गा डिजिटल स्टूडियो और ज़ेरॉक्स</v>
      </c>
      <c r="H233" s="10" t="str">
        <f>IFERROR(__xludf.DUMMYFUNCTION("GOOGLETRANSLATE(B233,""en"",""ta"")"),"கனக துர்கா டிஜிட்டல் ஸ்டுடியோ மற்றும் ஜெராக்ஸ்")</f>
        <v>கனக துர்கா டிஜிட்டல் ஸ்டுடியோ மற்றும் ஜெராக்ஸ்</v>
      </c>
      <c r="I233" s="10" t="str">
        <f>IFERROR(__xludf.DUMMYFUNCTION("GOOGLETRANSLATE(B233,""en"",""kn"")"),"ಕನಕಾ ದುರ್ಗಾ ಡಿಜಿಟಲ್ ಸ್ಟುಡಿಯೋ ಎಂಡ್ ಜೆರಾಕ್ಸ್‌")</f>
        <v>ಕನಕಾ ದುರ್ಗಾ ಡಿಜಿಟಲ್ ಸ್ಟುಡಿಯೋ ಎಂಡ್ ಜೆರಾಕ್ಸ್‌</v>
      </c>
      <c r="J233" s="10" t="str">
        <f>IFERROR(__xludf.DUMMYFUNCTION("GOOGLETRANSLATE(B233,""en"",""ml"")"),"കനക ദുർഗ ഡിജിറ്റൽ സ്റ്റുഡിയോ ആൻഡ് സെറോക്സ്")</f>
        <v>കനക ദുർഗ ഡിജിറ്റൽ സ്റ്റുഡിയോ ആൻഡ് സെറോക്സ്</v>
      </c>
      <c r="K233" s="12" t="s">
        <v>843</v>
      </c>
      <c r="L233" s="10" t="str">
        <f>IFERROR(__xludf.DUMMYFUNCTION("GOOGLETRANSLATE(K233,""en"",""te"")"),"ఈ కేంద్రం ఫోటో ప్రింటింగ్ మరియు జిరాక్స్ సేవలను అందిస్తుంది. ఇది ప్రాథమిక డిజిటల్ పనికి కూడా మద్దతు ఇస్తుంది.")</f>
        <v>ఈ కేంద్రం ఫోటో ప్రింటింగ్ మరియు జిరాక్స్ సేవలను అందిస్తుంది. ఇది ప్రాథమిక డిజిటల్ పనికి కూడా మద్దతు ఇస్తుంది.</v>
      </c>
      <c r="M233" s="10" t="str">
        <f>IFERROR(__xludf.DUMMYFUNCTION("GOOGLETRANSLATE(K233,""en"",""hi"")"),"यह केंद्र फोटो प्रिंटिंग और ज़ेरॉक्स सेवाएं प्रदान करता है। यह बुनियादी डिजिटल कार्यों में भी सहायता प्रदान करता है।")</f>
        <v>यह केंद्र फोटो प्रिंटिंग और ज़ेरॉक्स सेवाएं प्रदान करता है। यह बुनियादी डिजिटल कार्यों में भी सहायता प्रदान करता है।</v>
      </c>
      <c r="N233" s="10" t="str">
        <f>IFERROR(__xludf.DUMMYFUNCTION("GOOGLETRANSLATE(K233,""en"",""ta"")"),"இந்த மையம் புகைப்பட அச்சிடுதல் மற்றும் ஜெராக்ஸ் சேவைகளை வழங்குகிறது. இது அடிப்படை டிஜிட்டல் வேலைகளையும் ஆதரிக்கிறது.")</f>
        <v>இந்த மையம் புகைப்பட அச்சிடுதல் மற்றும் ஜெராக்ஸ் சேவைகளை வழங்குகிறது. இது அடிப்படை டிஜிட்டல் வேலைகளையும் ஆதரிக்கிறது.</v>
      </c>
      <c r="O233" s="10" t="str">
        <f>IFERROR(__xludf.DUMMYFUNCTION("GOOGLETRANSLATE(K233,""en"",""kn"")"),"ಈ ಕೇಂದ್ರವು ಫೋಟೋ ಮುದ್ರಣ ಮತ್ತು ಜೆರಾಕ್ಸ್ ಸೇವೆಗಳನ್ನು ಒದಗಿಸುತ್ತದೆ. ಇದು ಮೂಲ ಡಿಜಿಟಲ್ ಕೆಲಸಗಳನ್ನು ಸಹ ಬೆಂಬಲಿಸುತ್ತದೆ.")</f>
        <v>ಈ ಕೇಂದ್ರವು ಫೋಟೋ ಮುದ್ರಣ ಮತ್ತು ಜೆರಾಕ್ಸ್ ಸೇವೆಗಳನ್ನು ಒದಗಿಸುತ್ತದೆ. ಇದು ಮೂಲ ಡಿಜಿಟಲ್ ಕೆಲಸಗಳನ್ನು ಸಹ ಬೆಂಬಲಿಸುತ್ತದೆ.</v>
      </c>
      <c r="P233" s="10" t="str">
        <f>IFERROR(__xludf.DUMMYFUNCTION("GOOGLETRANSLATE(K233,""en"",""ml"")"),"ഈ കേന്ദ്രം ഫോട്ടോ പ്രിന്റിംഗ്, സിറോക്സ് സേവനങ്ങൾ നൽകുന്നു. അടിസ്ഥാന ഡിജിറ്റൽ ജോലികളും ഇത് പിന്തുണയ്ക്കുന്നു.")</f>
        <v>ഈ കേന്ദ്രം ഫോട്ടോ പ്രിന്റിംഗ്, സിറോക്സ് സേവനങ്ങൾ നൽകുന്നു. അടിസ്ഥാന ഡിജിറ്റൽ ജോലികളും ഇത് പിന്തുണയ്ക്കുന്നു.</v>
      </c>
    </row>
    <row r="234">
      <c r="A234" s="6">
        <f t="shared" si="1"/>
        <v>233</v>
      </c>
      <c r="B234" s="6" t="s">
        <v>844</v>
      </c>
      <c r="C234" s="6">
        <v>16.0718904</v>
      </c>
      <c r="D234" s="6">
        <v>78.874367</v>
      </c>
      <c r="E234" s="5" t="s">
        <v>765</v>
      </c>
      <c r="F234" s="8" t="s">
        <v>845</v>
      </c>
      <c r="G234" s="8" t="s">
        <v>846</v>
      </c>
      <c r="H234" s="8" t="s">
        <v>847</v>
      </c>
      <c r="I234" s="8" t="s">
        <v>848</v>
      </c>
      <c r="J234" s="8" t="s">
        <v>849</v>
      </c>
      <c r="K234" s="12" t="s">
        <v>850</v>
      </c>
      <c r="L234" s="10" t="str">
        <f>IFERROR(__xludf.DUMMYFUNCTION("GOOGLETRANSLATE(K234,""en"",""te"")"),"రాయల్ జిరాక్స్ సెంటర్ ఫోటోకాపీ మరియు ప్రింట్ సేవలను అందిస్తుంది.")</f>
        <v>రాయల్ జిరాక్స్ సెంటర్ ఫోటోకాపీ మరియు ప్రింట్ సేవలను అందిస్తుంది.</v>
      </c>
      <c r="M234" s="10" t="str">
        <f>IFERROR(__xludf.DUMMYFUNCTION("GOOGLETRANSLATE(K234,""en"",""hi"")"),"रॉयल ज़ेरॉक्स सेंटर फोटोकॉपी और प्रिंटिंग सेवाएं प्रदान करता है।")</f>
        <v>रॉयल ज़ेरॉक्स सेंटर फोटोकॉपी और प्रिंटिंग सेवाएं प्रदान करता है।</v>
      </c>
      <c r="N234" s="10" t="str">
        <f>IFERROR(__xludf.DUMMYFUNCTION("GOOGLETRANSLATE(K234,""en"",""ta"")"),"ராயல் ஜெராக்ஸ் மையம் நகல் மற்றும் அச்சு சேவைகளை வழங்குகிறது.")</f>
        <v>ராயல் ஜெராக்ஸ் மையம் நகல் மற்றும் அச்சு சேவைகளை வழங்குகிறது.</v>
      </c>
      <c r="O234" s="10" t="str">
        <f>IFERROR(__xludf.DUMMYFUNCTION("GOOGLETRANSLATE(K234,""en"",""kn"")"),"ರಾಯಲ್ ಜೆರಾಕ್ಸ್ ಸೆಂಟರ್ ಫೋಟೋಕಾಪಿ ಮತ್ತು ಮುದ್ರಣ ಸೇವೆಗಳನ್ನು ನೀಡುತ್ತದೆ.")</f>
        <v>ರಾಯಲ್ ಜೆರಾಕ್ಸ್ ಸೆಂಟರ್ ಫೋಟೋಕಾಪಿ ಮತ್ತು ಮುದ್ರಣ ಸೇವೆಗಳನ್ನು ನೀಡುತ್ತದೆ.</v>
      </c>
      <c r="P234" s="10" t="str">
        <f>IFERROR(__xludf.DUMMYFUNCTION("GOOGLETRANSLATE(K234,""en"",""ml"")"),"റോയൽ സിറോക്സ് സെന്റർ ഫോട്ടോകോപ്പി, പ്രിന്റ് സേവനങ്ങൾ വാഗ്ദാനം ചെയ്യുന്നു.")</f>
        <v>റോയൽ സിറോക്സ് സെന്റർ ഫോട്ടോകോപ്പി, പ്രിന്റ് സേവനങ്ങൾ വാഗ്ദാനം ചെയ്യുന്നു.</v>
      </c>
    </row>
    <row r="235">
      <c r="A235" s="6">
        <f t="shared" si="1"/>
        <v>234</v>
      </c>
      <c r="B235" s="6" t="s">
        <v>851</v>
      </c>
      <c r="C235" s="6">
        <v>16.0739585</v>
      </c>
      <c r="D235" s="6">
        <v>78.8736019</v>
      </c>
      <c r="E235" s="5" t="s">
        <v>765</v>
      </c>
      <c r="F235" s="8" t="s">
        <v>852</v>
      </c>
      <c r="G235" s="8" t="s">
        <v>853</v>
      </c>
      <c r="H235" s="8" t="s">
        <v>854</v>
      </c>
      <c r="I235" s="8" t="s">
        <v>855</v>
      </c>
      <c r="J235" s="8" t="s">
        <v>856</v>
      </c>
      <c r="K235" s="12" t="s">
        <v>857</v>
      </c>
      <c r="L235" s="10" t="str">
        <f>IFERROR(__xludf.DUMMYFUNCTION("GOOGLETRANSLATE(K235,""en"",""te"")"),"స్నేహ జిరాక్స్ షాప్ కాపీయింగ్ మరియు డాక్యుమెంట్ సేవలను అందిస్తుంది.")</f>
        <v>స్నేహ జిరాక్స్ షాప్ కాపీయింగ్ మరియు డాక్యుమెంట్ సేవలను అందిస్తుంది.</v>
      </c>
      <c r="M235" s="10" t="str">
        <f>IFERROR(__xludf.DUMMYFUNCTION("GOOGLETRANSLATE(K235,""en"",""hi"")"),"स्नेहा ज़ेरॉक्स शॉप कॉपी और दस्तावेज़ संबंधी सेवाएं प्रदान करती है।")</f>
        <v>स्नेहा ज़ेरॉक्स शॉप कॉपी और दस्तावेज़ संबंधी सेवाएं प्रदान करती है।</v>
      </c>
      <c r="N235" s="10" t="str">
        <f>IFERROR(__xludf.DUMMYFUNCTION("GOOGLETRANSLATE(K235,""en"",""ta"")"),"சினேகா ஜெராக்ஸ் கடை நகலெடுக்கும் மற்றும் ஆவண சேவைகளை வழங்குகிறது.")</f>
        <v>சினேகா ஜெராக்ஸ் கடை நகலெடுக்கும் மற்றும் ஆவண சேவைகளை வழங்குகிறது.</v>
      </c>
      <c r="O235" s="10" t="str">
        <f>IFERROR(__xludf.DUMMYFUNCTION("GOOGLETRANSLATE(K235,""en"",""kn"")"),"ಸ್ನೇಹಾ ಜೆರಾಕ್ಸ್ ಅಂಗಡಿಯು ದಾಖಲೆಗಳ ನಕಲು ಮತ್ತು ನಕಲು ಸೇವೆಗಳನ್ನು ಒದಗಿಸುತ್ತದೆ.")</f>
        <v>ಸ್ನೇಹಾ ಜೆರಾಕ್ಸ್ ಅಂಗಡಿಯು ದಾಖಲೆಗಳ ನಕಲು ಮತ್ತು ನಕಲು ಸೇವೆಗಳನ್ನು ಒದಗಿಸುತ್ತದೆ.</v>
      </c>
      <c r="P235" s="10" t="str">
        <f>IFERROR(__xludf.DUMMYFUNCTION("GOOGLETRANSLATE(K235,""en"",""ml"")"),"സ്നേഹ സിറോക്സ് ഷോപ്പ് പകർപ്പെടുക്കൽ, രേഖകൾ പകർത്തൽ സേവനങ്ങൾ നൽകുന്നു.")</f>
        <v>സ്നേഹ സിറോക്സ് ഷോപ്പ് പകർപ്പെടുക്കൽ, രേഖകൾ പകർത്തൽ സേവനങ്ങൾ നൽകുന്നു.</v>
      </c>
    </row>
    <row r="236">
      <c r="A236" s="6">
        <f t="shared" si="1"/>
        <v>235</v>
      </c>
      <c r="B236" s="6" t="s">
        <v>858</v>
      </c>
      <c r="C236" s="6">
        <v>16.0757275</v>
      </c>
      <c r="D236" s="6">
        <v>78.8741212</v>
      </c>
      <c r="E236" s="5" t="s">
        <v>765</v>
      </c>
      <c r="F236" s="8" t="s">
        <v>859</v>
      </c>
      <c r="G236" s="8" t="s">
        <v>860</v>
      </c>
      <c r="H236" s="8" t="s">
        <v>861</v>
      </c>
      <c r="I236" s="8" t="s">
        <v>862</v>
      </c>
      <c r="J236" s="8" t="s">
        <v>863</v>
      </c>
      <c r="K236" s="12" t="s">
        <v>864</v>
      </c>
      <c r="L236" s="10" t="str">
        <f>IFERROR(__xludf.DUMMYFUNCTION("GOOGLETRANSLATE(K236,""en"",""te"")"),"ఈ దుకాణం టైర్ పంక్చర్ మరమ్మతులు మరియు కొత్త టైర్ల అమ్మకాలను నిర్వహిస్తుంది. ఇది ద్విచక్ర వాహనాలు మరియు నాలుగు చక్రాల వాహనాలకు మద్దతు ఇస్తుంది. సేవ సాధారణంగా త్వరగా ఉంటుంది.")</f>
        <v>ఈ దుకాణం టైర్ పంక్చర్ మరమ్మతులు మరియు కొత్త టైర్ల అమ్మకాలను నిర్వహిస్తుంది. ఇది ద్విచక్ర వాహనాలు మరియు నాలుగు చక్రాల వాహనాలకు మద్దతు ఇస్తుంది. సేవ సాధారణంగా త్వరగా ఉంటుంది.</v>
      </c>
      <c r="M236" s="10" t="str">
        <f>IFERROR(__xludf.DUMMYFUNCTION("GOOGLETRANSLATE(K236,""en"",""hi"")"),"यह दुकान टायर पंक्चर की मरम्मत और नए टायरों की बिक्री करती है। यह दोपहिया और चार पहिया दोनों वाहनों के लिए सेवा प्रदान करती है। सेवा आमतौर पर त्वरित होती है।")</f>
        <v>यह दुकान टायर पंक्चर की मरम्मत और नए टायरों की बिक्री करती है। यह दोपहिया और चार पहिया दोनों वाहनों के लिए सेवा प्रदान करती है। सेवा आमतौर पर त्वरित होती है।</v>
      </c>
      <c r="N236" s="10" t="str">
        <f>IFERROR(__xludf.DUMMYFUNCTION("GOOGLETRANSLATE(K236,""en"",""ta"")"),"இந்த கடை டயர் பஞ்சர் பழுதுபார்ப்பு மற்றும் புதிய டயர் விற்பனையை கையாளுகிறது. இது இரு சக்கர வாகனங்கள் மற்றும் நான்கு சக்கர வாகனங்களை ஆதரிக்கிறது. சேவை பொதுவாக விரைவானது.")</f>
        <v>இந்த கடை டயர் பஞ்சர் பழுதுபார்ப்பு மற்றும் புதிய டயர் விற்பனையை கையாளுகிறது. இது இரு சக்கர வாகனங்கள் மற்றும் நான்கு சக்கர வாகனங்களை ஆதரிக்கிறது. சேவை பொதுவாக விரைவானது.</v>
      </c>
      <c r="O236" s="10" t="str">
        <f>IFERROR(__xludf.DUMMYFUNCTION("GOOGLETRANSLATE(K236,""en"",""kn"")"),"ಈ ಅಂಗಡಿಯು ಟೈರ್ ಪಂಕ್ಚರ್ ರಿಪೇರಿ ಮತ್ತು ಹೊಸ ಟೈರ್ ಮಾರಾಟವನ್ನು ನಿರ್ವಹಿಸುತ್ತದೆ. ಇದು ದ್ವಿಚಕ್ರ ಮತ್ತು ನಾಲ್ಕು ಚಕ್ರಗಳ ವಾಹನಗಳನ್ನು ಬೆಂಬಲಿಸುತ್ತದೆ. ಸೇವೆ ಸಾಮಾನ್ಯವಾಗಿ ತ್ವರಿತವಾಗಿರುತ್ತದೆ.")</f>
        <v>ಈ ಅಂಗಡಿಯು ಟೈರ್ ಪಂಕ್ಚರ್ ರಿಪೇರಿ ಮತ್ತು ಹೊಸ ಟೈರ್ ಮಾರಾಟವನ್ನು ನಿರ್ವಹಿಸುತ್ತದೆ. ಇದು ದ್ವಿಚಕ್ರ ಮತ್ತು ನಾಲ್ಕು ಚಕ್ರಗಳ ವಾಹನಗಳನ್ನು ಬೆಂಬಲಿಸುತ್ತದೆ. ಸೇವೆ ಸಾಮಾನ್ಯವಾಗಿ ತ್ವರಿತವಾಗಿರುತ್ತದೆ.</v>
      </c>
      <c r="P236" s="10" t="str">
        <f>IFERROR(__xludf.DUMMYFUNCTION("GOOGLETRANSLATE(K236,""en"",""ml"")"),"ടയർ പഞ്ചർ റിപ്പയറും പുതിയ ടയർ വിൽപ്പനയും ഈ കടയിൽ നടക്കുന്നു. ഇരുചക്ര വാഹനങ്ങളെയും നാലുചക്ര വാഹനങ്ങളെയും ഇത് പിന്തുണയ്ക്കുന്നു. സാധാരണയായി സേവനം വേഗത്തിലാണ്.")</f>
        <v>ടയർ പഞ്ചർ റിപ്പയറും പുതിയ ടയർ വിൽപ്പനയും ഈ കടയിൽ നടക്കുന്നു. ഇരുചക്ര വാഹനങ്ങളെയും നാലുചക്ര വാഹനങ്ങളെയും ഇത് പിന്തുണയ്ക്കുന്നു. സാധാരണയായി സേവനം വേഗത്തിലാണ്.</v>
      </c>
    </row>
    <row r="237">
      <c r="A237" s="6">
        <f t="shared" si="1"/>
        <v>236</v>
      </c>
      <c r="B237" s="6" t="s">
        <v>865</v>
      </c>
      <c r="C237" s="6">
        <v>16.0724294</v>
      </c>
      <c r="D237" s="6">
        <v>78.8740309</v>
      </c>
      <c r="E237" s="5" t="s">
        <v>765</v>
      </c>
      <c r="F237" s="8" t="s">
        <v>866</v>
      </c>
      <c r="G237" s="8" t="s">
        <v>867</v>
      </c>
      <c r="H237" s="8" t="s">
        <v>868</v>
      </c>
      <c r="I237" s="8" t="s">
        <v>869</v>
      </c>
      <c r="J237" s="8" t="s">
        <v>870</v>
      </c>
      <c r="K237" s="12" t="s">
        <v>871</v>
      </c>
      <c r="L237" s="10" t="str">
        <f>IFERROR(__xludf.DUMMYFUNCTION("GOOGLETRANSLATE(K237,""en"",""te"")"),"ఈ సౌకర్యం పంక్చర్ అయిన టైర్లను రిపేర్ చేస్తుంది. ఇది ప్రాథమిక టైర్ నిర్వహణను అందిస్తుంది. అత్యవసర స్టాప్‌లకు ఉపయోగపడుతుంది. సర్వీస్ సమయం పనిభారంపై ఆధారపడి ఉంటుంది.")</f>
        <v>ఈ సౌకర్యం పంక్చర్ అయిన టైర్లను రిపేర్ చేస్తుంది. ఇది ప్రాథమిక టైర్ నిర్వహణను అందిస్తుంది. అత్యవసర స్టాప్‌లకు ఉపయోగపడుతుంది. సర్వీస్ సమయం పనిభారంపై ఆధారపడి ఉంటుంది.</v>
      </c>
      <c r="M237" s="10" t="str">
        <f>IFERROR(__xludf.DUMMYFUNCTION("GOOGLETRANSLATE(K237,""en"",""hi"")"),"यह सुविधा पंचर हुए टायरों की मरम्मत करती है। यह टायरों की बुनियादी देखभाल भी प्रदान करती है। आपातकालीन स्थिति में रुकने के लिए उपयोगी। सेवा का समय कार्यभार पर निर्भर करता है।")</f>
        <v>यह सुविधा पंचर हुए टायरों की मरम्मत करती है। यह टायरों की बुनियादी देखभाल भी प्रदान करती है। आपातकालीन स्थिति में रुकने के लिए उपयोगी। सेवा का समय कार्यभार पर निर्भर करता है।</v>
      </c>
      <c r="N237" s="10" t="str">
        <f>IFERROR(__xludf.DUMMYFUNCTION("GOOGLETRANSLATE(K237,""en"",""ta"")"),"இந்த வசதி பஞ்சரான டயர்களை பழுதுபார்க்கிறது. இது அடிப்படை டயர் பராமரிப்பை வழங்குகிறது. அவசர நிறுத்தங்களுக்கு பயனுள்ளதாக இருக்கும். சேவை நேரம் பணிச்சுமையைப் பொறுத்தது.")</f>
        <v>இந்த வசதி பஞ்சரான டயர்களை பழுதுபார்க்கிறது. இது அடிப்படை டயர் பராமரிப்பை வழங்குகிறது. அவசர நிறுத்தங்களுக்கு பயனுள்ளதாக இருக்கும். சேவை நேரம் பணிச்சுமையைப் பொறுத்தது.</v>
      </c>
      <c r="O237" s="10" t="str">
        <f>IFERROR(__xludf.DUMMYFUNCTION("GOOGLETRANSLATE(K237,""en"",""kn"")"),"ಈ ಸೌಲಭ್ಯವು ಪಂಕ್ಚರ್ ಆದ ಟೈರ್‌ಗಳನ್ನು ದುರಸ್ತಿ ಮಾಡುತ್ತದೆ. ಇದು ಮೂಲಭೂತ ಟೈರ್ ನಿರ್ವಹಣೆಯನ್ನು ನೀಡುತ್ತದೆ. ತುರ್ತು ನಿಲ್ದಾಣಗಳಿಗೆ ಉಪಯುಕ್ತವಾಗಿದೆ. ಸೇವಾ ಸಮಯವು ಕೆಲಸದ ಹೊರೆಯನ್ನು ಅವಲಂಬಿಸಿರುತ್ತದೆ.")</f>
        <v>ಈ ಸೌಲಭ್ಯವು ಪಂಕ್ಚರ್ ಆದ ಟೈರ್‌ಗಳನ್ನು ದುರಸ್ತಿ ಮಾಡುತ್ತದೆ. ಇದು ಮೂಲಭೂತ ಟೈರ್ ನಿರ್ವಹಣೆಯನ್ನು ನೀಡುತ್ತದೆ. ತುರ್ತು ನಿಲ್ದಾಣಗಳಿಗೆ ಉಪಯುಕ್ತವಾಗಿದೆ. ಸೇವಾ ಸಮಯವು ಕೆಲಸದ ಹೊರೆಯನ್ನು ಅವಲಂಬಿಸಿರುತ್ತದೆ.</v>
      </c>
      <c r="P237" s="10" t="str">
        <f>IFERROR(__xludf.DUMMYFUNCTION("GOOGLETRANSLATE(K237,""en"",""ml"")"),"പഞ്ചറായ ടയറുകൾ നന്നാക്കുന്ന സൗകര്യമാണിത്. ഇത് അടിസ്ഥാന ടയർ അറ്റകുറ്റപ്പണികൾ നൽകുന്നു. അടിയന്തര സ്റ്റോപ്പുകൾക്ക് ഉപയോഗപ്രദമാണ്. സർവീസ് സമയം ജോലിഭാരത്തെ ആശ്രയിച്ചിരിക്കുന്നു.")</f>
        <v>പഞ്ചറായ ടയറുകൾ നന്നാക്കുന്ന സൗകര്യമാണിത്. ഇത് അടിസ്ഥാന ടയർ അറ്റകുറ്റപ്പണികൾ നൽകുന്നു. അടിയന്തര സ്റ്റോപ്പുകൾക്ക് ഉപയോഗപ്രദമാണ്. സർവീസ് സമയം ജോലിഭാരത്തെ ആശ്രയിച്ചിരിക്കുന്നു.</v>
      </c>
    </row>
    <row r="238">
      <c r="A238" s="6">
        <f t="shared" si="1"/>
        <v>237</v>
      </c>
      <c r="B238" s="6" t="s">
        <v>872</v>
      </c>
      <c r="C238" s="6">
        <v>16.067967</v>
      </c>
      <c r="D238" s="6">
        <v>78.8691545</v>
      </c>
      <c r="E238" s="5" t="s">
        <v>765</v>
      </c>
      <c r="F238" s="10" t="str">
        <f>IFERROR(__xludf.DUMMYFUNCTION("GOOGLETRANSLATE(B238,""en"",""te"")"),"SBMS ఆటోమొబైల్ గ్యారేజ్")</f>
        <v>SBMS ఆటోమొబైల్ గ్యారేజ్</v>
      </c>
      <c r="G238" s="10" t="str">
        <f>IFERROR(__xludf.DUMMYFUNCTION("GOOGLETRANSLATE(B238,""en"",""hi"")"),"एसबीएमएस ऑटोमोबाइल गैराज")</f>
        <v>एसबीएमएस ऑटोमोबाइल गैराज</v>
      </c>
      <c r="H238" s="10" t="str">
        <f>IFERROR(__xludf.DUMMYFUNCTION("GOOGLETRANSLATE(B238,""en"",""ta"")"),"SBMS ஆட்டோமொபைல் கேரேஜ்")</f>
        <v>SBMS ஆட்டோமொபைல் கேரேஜ்</v>
      </c>
      <c r="I238" s="10" t="str">
        <f>IFERROR(__xludf.DUMMYFUNCTION("GOOGLETRANSLATE(B238,""en"",""kn"")"),"ಎಸ್‌ಬಿಎಂಎಸ್ ಆಟೋಮೊಬೈಲ್ ಗ್ಯಾರೇಜ್")</f>
        <v>ಎಸ್‌ಬಿಎಂಎಸ್ ಆಟೋಮೊಬೈಲ್ ಗ್ಯಾರೇಜ್</v>
      </c>
      <c r="J238" s="10" t="str">
        <f>IFERROR(__xludf.DUMMYFUNCTION("GOOGLETRANSLATE(B238,""en"",""ml"")"),"എസ്ബിഎംഎസ് ഓട്ടോമൊബൈൽ ഗാരേജ്")</f>
        <v>എസ്ബിഎംഎസ് ഓട്ടോമൊബൈൽ ഗാരേജ്</v>
      </c>
      <c r="K238" s="12" t="s">
        <v>873</v>
      </c>
      <c r="L238" s="10" t="str">
        <f>IFERROR(__xludf.DUMMYFUNCTION("GOOGLETRANSLATE(K238,""en"",""te"")"),"SBMS ఆటోమొబైల్ గ్యారేజ్ వాహన మరమ్మతు సేవలను అందిస్తుంది. ఇది ప్రాథమిక యాంత్రిక పనులను నిర్వహిస్తుంది. చిన్న మరమ్మతులకు అనుకూలం.")</f>
        <v>SBMS ఆటోమొబైల్ గ్యారేజ్ వాహన మరమ్మతు సేవలను అందిస్తుంది. ఇది ప్రాథమిక యాంత్రిక పనులను నిర్వహిస్తుంది. చిన్న మరమ్మతులకు అనుకూలం.</v>
      </c>
      <c r="M238" s="10" t="str">
        <f>IFERROR(__xludf.DUMMYFUNCTION("GOOGLETRANSLATE(K238,""en"",""hi"")"),"एसबीएमएस ऑटोमोबाइल गैराज वाहन मरम्मत सेवाएं प्रदान करता है। यह बुनियादी यांत्रिक कार्य करता है। छोटी-मोटी मरम्मत के लिए उपयुक्त।")</f>
        <v>एसबीएमएस ऑटोमोबाइल गैराज वाहन मरम्मत सेवाएं प्रदान करता है। यह बुनियादी यांत्रिक कार्य करता है। छोटी-मोटी मरम्मत के लिए उपयुक्त।</v>
      </c>
      <c r="N238" s="10" t="str">
        <f>IFERROR(__xludf.DUMMYFUNCTION("GOOGLETRANSLATE(K238,""en"",""ta"")"),"SBMS ஆட்டோமொபைல் கேரேஜ் வாகன பழுதுபார்க்கும் சேவைகளை வழங்குகிறது. இது அடிப்படை இயந்திர வேலைகளைக் கையாளுகிறது. சிறிய பழுதுபார்ப்புகளுக்கு ஏற்றது.")</f>
        <v>SBMS ஆட்டோமொபைல் கேரேஜ் வாகன பழுதுபார்க்கும் சேவைகளை வழங்குகிறது. இது அடிப்படை இயந்திர வேலைகளைக் கையாளுகிறது. சிறிய பழுதுபார்ப்புகளுக்கு ஏற்றது.</v>
      </c>
      <c r="O238" s="10" t="str">
        <f>IFERROR(__xludf.DUMMYFUNCTION("GOOGLETRANSLATE(K238,""en"",""kn"")"),"SBMS ಆಟೋಮೊಬೈಲ್ ಗ್ಯಾರೇಜ್ ವಾಹನ ದುರಸ್ತಿ ಸೇವೆಗಳನ್ನು ಒದಗಿಸುತ್ತದೆ. ಇದು ಮೂಲ ಯಾಂತ್ರಿಕ ಕೆಲಸವನ್ನು ನಿರ್ವಹಿಸುತ್ತದೆ. ಸಣ್ಣ ದುರಸ್ತಿಗಳಿಗೆ ಸೂಕ್ತವಾಗಿದೆ.")</f>
        <v>SBMS ಆಟೋಮೊಬೈಲ್ ಗ್ಯಾರೇಜ್ ವಾಹನ ದುರಸ್ತಿ ಸೇವೆಗಳನ್ನು ಒದಗಿಸುತ್ತದೆ. ಇದು ಮೂಲ ಯಾಂತ್ರಿಕ ಕೆಲಸವನ್ನು ನಿರ್ವಹಿಸುತ್ತದೆ. ಸಣ್ಣ ದುರಸ್ತಿಗಳಿಗೆ ಸೂಕ್ತವಾಗಿದೆ.</v>
      </c>
      <c r="P238" s="10" t="str">
        <f>IFERROR(__xludf.DUMMYFUNCTION("GOOGLETRANSLATE(K238,""en"",""ml"")"),"എസ്‌ബി‌എം‌എസ് ഓട്ടോമൊബൈൽ ഗാരേജ് വാഹന നന്നാക്കൽ സേവനങ്ങൾ നൽകുന്നു. അടിസ്ഥാന മെക്കാനിക്കൽ ജോലികൾ ഇത് കൈകാര്യം ചെയ്യുന്നു. ചെറിയ അറ്റകുറ്റപ്പണികൾക്ക് അനുയോജ്യം.")</f>
        <v>എസ്‌ബി‌എം‌എസ് ഓട്ടോമൊബൈൽ ഗാരേജ് വാഹന നന്നാക്കൽ സേവനങ്ങൾ നൽകുന്നു. അടിസ്ഥാന മെക്കാനിക്കൽ ജോലികൾ ഇത് കൈകാര്യം ചെയ്യുന്നു. ചെറിയ അറ്റകുറ്റപ്പണികൾക്ക് അനുയോജ്യം.</v>
      </c>
    </row>
    <row r="239">
      <c r="A239" s="6">
        <f t="shared" si="1"/>
        <v>238</v>
      </c>
      <c r="B239" s="6" t="s">
        <v>874</v>
      </c>
      <c r="C239" s="6">
        <v>16.0734025</v>
      </c>
      <c r="D239" s="6">
        <v>78.862852</v>
      </c>
      <c r="E239" s="5" t="s">
        <v>765</v>
      </c>
      <c r="F239" s="8" t="s">
        <v>875</v>
      </c>
      <c r="G239" s="8" t="s">
        <v>876</v>
      </c>
      <c r="H239" s="8" t="s">
        <v>877</v>
      </c>
      <c r="I239" s="8" t="s">
        <v>878</v>
      </c>
      <c r="J239" s="8" t="s">
        <v>879</v>
      </c>
      <c r="K239" s="12" t="s">
        <v>880</v>
      </c>
      <c r="L239" s="10" t="str">
        <f>IFERROR(__xludf.DUMMYFUNCTION("GOOGLETRANSLATE(K239,""en"",""te"")"),"ఈ బోటిక్ డిజైనర్ దుస్తులు మరియు టైలరింగ్ సేవలను అందిస్తుంది. ఇది ప్రధానంగా మహిళల దుస్తులను అందిస్తుంది. ఎంపిక కోసం ఉత్పత్తులను ప్రదర్శించారు.")</f>
        <v>ఈ బోటిక్ డిజైనర్ దుస్తులు మరియు టైలరింగ్ సేవలను అందిస్తుంది. ఇది ప్రధానంగా మహిళల దుస్తులను అందిస్తుంది. ఎంపిక కోసం ఉత్పత్తులను ప్రదర్శించారు.</v>
      </c>
      <c r="M239" s="10" t="str">
        <f>IFERROR(__xludf.DUMMYFUNCTION("GOOGLETRANSLATE(K239,""en"",""hi"")"),"यह बुटीक डिजाइनर कपड़े और सिलाई सेवाएं प्रदान करता है। यह मुख्य रूप से महिलाओं के कपड़ों पर ध्यान केंद्रित करता है। चयन के लिए उत्पाद प्रदर्शित किए गए हैं।")</f>
        <v>यह बुटीक डिजाइनर कपड़े और सिलाई सेवाएं प्रदान करता है। यह मुख्य रूप से महिलाओं के कपड़ों पर ध्यान केंद्रित करता है। चयन के लिए उत्पाद प्रदर्शित किए गए हैं।</v>
      </c>
      <c r="N239" s="10" t="str">
        <f>IFERROR(__xludf.DUMMYFUNCTION("GOOGLETRANSLATE(K239,""en"",""ta"")"),"இந்த பூட்டிக் டிசைனர் ஆடைகள் மற்றும் தையல் சேவைகளை வழங்குகிறது. இது முக்கியமாக பெண்களுக்கான ஆடைகளை வழங்குகிறது. தேர்வுக்காக தயாரிப்புகள் காட்சிப்படுத்தப்பட்டுள்ளன.")</f>
        <v>இந்த பூட்டிக் டிசைனர் ஆடைகள் மற்றும் தையல் சேவைகளை வழங்குகிறது. இது முக்கியமாக பெண்களுக்கான ஆடைகளை வழங்குகிறது. தேர்வுக்காக தயாரிப்புகள் காட்சிப்படுத்தப்பட்டுள்ளன.</v>
      </c>
      <c r="O239" s="10" t="str">
        <f>IFERROR(__xludf.DUMMYFUNCTION("GOOGLETRANSLATE(K239,""en"",""kn"")"),"ಈ ಅಂಗಡಿಯು ವಿನ್ಯಾಸಕರ ಉಡುಪು ಮತ್ತು ಟೈಲರಿಂಗ್ ಸೇವೆಗಳನ್ನು ನೀಡುತ್ತದೆ. ಇದು ಮುಖ್ಯವಾಗಿ ಮಹಿಳೆಯರ ಉಡುಪುಗಳನ್ನು ಪೂರೈಸುತ್ತದೆ. ಆಯ್ಕೆಗಾಗಿ ಉತ್ಪನ್ನಗಳನ್ನು ಪ್ರದರ್ಶಿಸಲಾಗುತ್ತದೆ.")</f>
        <v>ಈ ಅಂಗಡಿಯು ವಿನ್ಯಾಸಕರ ಉಡುಪು ಮತ್ತು ಟೈಲರಿಂಗ್ ಸೇವೆಗಳನ್ನು ನೀಡುತ್ತದೆ. ಇದು ಮುಖ್ಯವಾಗಿ ಮಹಿಳೆಯರ ಉಡುಪುಗಳನ್ನು ಪೂರೈಸುತ್ತದೆ. ಆಯ್ಕೆಗಾಗಿ ಉತ್ಪನ್ನಗಳನ್ನು ಪ್ರದರ್ಶಿಸಲಾಗುತ್ತದೆ.</v>
      </c>
      <c r="P239" s="10" t="str">
        <f>IFERROR(__xludf.DUMMYFUNCTION("GOOGLETRANSLATE(K239,""en"",""ml"")"),"ഈ ബുട്ടീക്ക് ഡിസൈനർ വസ്ത്രങ്ങളും തയ്യൽ സേവനങ്ങളും വാഗ്ദാനം ചെയ്യുന്നു. ഇത് പ്രധാനമായും സ്ത്രീകളുടെ വസ്ത്രങ്ങൾക്കാണ് സേവനം നൽകുന്നത്. തിരഞ്ഞെടുക്കുന്നതിനായി ഉൽപ്പന്നങ്ങൾ പ്രദർശിപ്പിച്ചിരിക്കുന്നു.")</f>
        <v>ഈ ബുട്ടീക്ക് ഡിസൈനർ വസ്ത്രങ്ങളും തയ്യൽ സേവനങ്ങളും വാഗ്ദാനം ചെയ്യുന്നു. ഇത് പ്രധാനമായും സ്ത്രീകളുടെ വസ്ത്രങ്ങൾക്കാണ് സേവനം നൽകുന്നത്. തിരഞ്ഞെടുക്കുന്നതിനായി ഉൽപ്പന്നങ്ങൾ പ്രദർശിപ്പിച്ചിരിക്കുന്നു.</v>
      </c>
    </row>
    <row r="240">
      <c r="A240" s="6">
        <f t="shared" si="1"/>
        <v>239</v>
      </c>
      <c r="B240" s="6" t="s">
        <v>881</v>
      </c>
      <c r="C240" s="6">
        <v>16.0738047</v>
      </c>
      <c r="D240" s="6">
        <v>78.8725891</v>
      </c>
      <c r="E240" s="5" t="s">
        <v>765</v>
      </c>
      <c r="F240" s="8" t="s">
        <v>882</v>
      </c>
      <c r="G240" s="8" t="s">
        <v>883</v>
      </c>
      <c r="H240" s="8" t="s">
        <v>884</v>
      </c>
      <c r="I240" s="8" t="s">
        <v>885</v>
      </c>
      <c r="J240" s="8" t="s">
        <v>886</v>
      </c>
      <c r="K240" s="12" t="s">
        <v>887</v>
      </c>
      <c r="L240" s="10" t="str">
        <f>IFERROR(__xludf.DUMMYFUNCTION("GOOGLETRANSLATE(K240,""en"",""te"")"),"ఈ సేవ ఈవెంట్‌లకు ప్రొఫెషనల్ మేకప్‌ను అందిస్తుంది. అపాయింట్‌మెంట్‌లు అవసరం కావచ్చు. వ్యక్తిగత గ్రూమింగ్ సేవలపై దృష్టి ఉంటుంది. బుకింగ్‌ల ఆధారంగా పనిచేస్తుంది.")</f>
        <v>ఈ సేవ ఈవెంట్‌లకు ప్రొఫెషనల్ మేకప్‌ను అందిస్తుంది. అపాయింట్‌మెంట్‌లు అవసరం కావచ్చు. వ్యక్తిగత గ్రూమింగ్ సేవలపై దృష్టి ఉంటుంది. బుకింగ్‌ల ఆధారంగా పనిచేస్తుంది.</v>
      </c>
      <c r="M240" s="10" t="str">
        <f>IFERROR(__xludf.DUMMYFUNCTION("GOOGLETRANSLATE(K240,""en"",""hi"")"),"यह सेवा कार्यक्रमों के लिए पेशेवर मेकअप प्रदान करती है। अपॉइंटमेंट की आवश्यकता हो सकती है। यहाँ व्यक्तिगत ग्रूमिंग सेवाओं पर विशेष ध्यान दिया जाता है। बुकिंग के आधार पर सेवा संचालित होती है।")</f>
        <v>यह सेवा कार्यक्रमों के लिए पेशेवर मेकअप प्रदान करती है। अपॉइंटमेंट की आवश्यकता हो सकती है। यहाँ व्यक्तिगत ग्रूमिंग सेवाओं पर विशेष ध्यान दिया जाता है। बुकिंग के आधार पर सेवा संचालित होती है।</v>
      </c>
      <c r="N240" s="10" t="str">
        <f>IFERROR(__xludf.DUMMYFUNCTION("GOOGLETRANSLATE(K240,""en"",""ta"")"),"இந்த சேவை நிகழ்வுகளுக்கு தொழில்முறை ஒப்பனை வழங்குகிறது. முன்பதிவுகள் தேவைப்படலாம். தனிப்பட்ட அழகுபடுத்தும் சேவைகளில் கவனம் செலுத்தப்படுகிறது. முன்பதிவுகளின் அடிப்படையில் செயல்படுகிறது.")</f>
        <v>இந்த சேவை நிகழ்வுகளுக்கு தொழில்முறை ஒப்பனை வழங்குகிறது. முன்பதிவுகள் தேவைப்படலாம். தனிப்பட்ட அழகுபடுத்தும் சேவைகளில் கவனம் செலுத்தப்படுகிறது. முன்பதிவுகளின் அடிப்படையில் செயல்படுகிறது.</v>
      </c>
      <c r="O240" s="10" t="str">
        <f>IFERROR(__xludf.DUMMYFUNCTION("GOOGLETRANSLATE(K240,""en"",""kn"")"),"ಈ ಸೇವೆಯು ಕಾರ್ಯಕ್ರಮಗಳಿಗೆ ವೃತ್ತಿಪರ ಮೇಕಪ್ ಒದಗಿಸುತ್ತದೆ. ಅಪಾಯಿಂಟ್‌ಮೆಂಟ್‌ಗಳು ಅಗತ್ಯವಿರಬಹುದು. ವೈಯಕ್ತಿಕ ಅಂದಗೊಳಿಸುವ ಸೇವೆಗಳ ಮೇಲೆ ಗಮನ ಕೇಂದ್ರೀಕರಿಸಲಾಗಿದೆ. ಬುಕಿಂಗ್‌ಗಳನ್ನು ಆಧರಿಸಿ ಕಾರ್ಯನಿರ್ವಹಿಸುತ್ತದೆ.")</f>
        <v>ಈ ಸೇವೆಯು ಕಾರ್ಯಕ್ರಮಗಳಿಗೆ ವೃತ್ತಿಪರ ಮೇಕಪ್ ಒದಗಿಸುತ್ತದೆ. ಅಪಾಯಿಂಟ್‌ಮೆಂಟ್‌ಗಳು ಅಗತ್ಯವಿರಬಹುದು. ವೈಯಕ್ತಿಕ ಅಂದಗೊಳಿಸುವ ಸೇವೆಗಳ ಮೇಲೆ ಗಮನ ಕೇಂದ್ರೀಕರಿಸಲಾಗಿದೆ. ಬುಕಿಂಗ್‌ಗಳನ್ನು ಆಧರಿಸಿ ಕಾರ್ಯನಿರ್ವಹಿಸುತ್ತದೆ.</v>
      </c>
      <c r="P240" s="10" t="str">
        <f>IFERROR(__xludf.DUMMYFUNCTION("GOOGLETRANSLATE(K240,""en"",""ml"")"),"പരിപാടികൾക്ക് പ്രൊഫഷണൽ മേക്കപ്പ് നൽകുന്ന സേവനം ഈ സേവനമാണ്. അപ്പോയിന്റ്മെന്റുകൾ ആവശ്യമായി വന്നേക്കാം. വ്യക്തിഗത പരിചരണ സേവനങ്ങളിലാണ് ശ്രദ്ധ കേന്ദ്രീകരിക്കുന്നത്. ബുക്കിംഗുകളെ അടിസ്ഥാനമാക്കിയാണ് പ്രവർത്തിക്കുന്നത്.")</f>
        <v>പരിപാടികൾക്ക് പ്രൊഫഷണൽ മേക്കപ്പ് നൽകുന്ന സേവനം ഈ സേവനമാണ്. അപ്പോയിന്റ്മെന്റുകൾ ആവശ്യമായി വന്നേക്കാം. വ്യക്തിഗത പരിചരണ സേവനങ്ങളിലാണ് ശ്രദ്ധ കേന്ദ്രീകരിക്കുന്നത്. ബുക്കിംഗുകളെ അടിസ്ഥാനമാക്കിയാണ് പ്രവർത്തിക്കുന്നത്.</v>
      </c>
    </row>
    <row r="241">
      <c r="A241" s="6">
        <f t="shared" si="1"/>
        <v>240</v>
      </c>
      <c r="B241" s="6" t="s">
        <v>888</v>
      </c>
      <c r="C241" s="6">
        <v>16.0749095</v>
      </c>
      <c r="D241" s="6">
        <v>78.8738309</v>
      </c>
      <c r="E241" s="5" t="s">
        <v>765</v>
      </c>
      <c r="F241" s="10" t="str">
        <f>IFERROR(__xludf.DUMMYFUNCTION("GOOGLETRANSLATE(B241,""en"",""te"")"),"శ్రీశైలం టాటూ స్టూడియో")</f>
        <v>శ్రీశైలం టాటూ స్టూడియో</v>
      </c>
      <c r="G241" s="10" t="str">
        <f>IFERROR(__xludf.DUMMYFUNCTION("GOOGLETRANSLATE(B241,""en"",""hi"")"),"श्रीशैलम टैटू स्टूडियो")</f>
        <v>श्रीशैलम टैटू स्टूडियो</v>
      </c>
      <c r="H241" s="10" t="str">
        <f>IFERROR(__xludf.DUMMYFUNCTION("GOOGLETRANSLATE(B241,""en"",""ta"")"),"ஷிரிசைலம் டாட்டூ ஸ்டுடியோ")</f>
        <v>ஷிரிசைலம் டாட்டூ ஸ்டுடியோ</v>
      </c>
      <c r="I241" s="10" t="str">
        <f>IFERROR(__xludf.DUMMYFUNCTION("GOOGLETRANSLATE(B241,""en"",""kn"")"),"ಶ್ರೀಶೈಲಮ್ ಟಟ್ಟೂ ಸ್ಟುಡಿಯೋ")</f>
        <v>ಶ್ರೀಶೈಲಮ್ ಟಟ್ಟೂ ಸ್ಟುಡಿಯೋ</v>
      </c>
      <c r="J241" s="10" t="str">
        <f>IFERROR(__xludf.DUMMYFUNCTION("GOOGLETRANSLATE(B241,""en"",""ml"")"),"ഷ്രീശൈലം റ്റാറ്റൂ സ്ടുഡിയോ")</f>
        <v>ഷ്രീശൈലം റ്റാറ്റൂ സ്ടുഡിയോ</v>
      </c>
      <c r="K241" s="12" t="s">
        <v>889</v>
      </c>
      <c r="L241" s="10" t="str">
        <f>IFERROR(__xludf.DUMMYFUNCTION("GOOGLETRANSLATE(K241,""en"",""te"")"),"టాటూ స్టూడియో బాడీ ఆర్ట్ సేవలను అందిస్తుంది. డిజైన్లను కస్టమర్లు ఎంపిక చేస్తారు. పరిశుభ్రత ప్రమాణాలను పాటిస్తారు.")</f>
        <v>టాటూ స్టూడియో బాడీ ఆర్ట్ సేవలను అందిస్తుంది. డిజైన్లను కస్టమర్లు ఎంపిక చేస్తారు. పరిశుభ్రత ప్రమాణాలను పాటిస్తారు.</v>
      </c>
      <c r="M241" s="10" t="str">
        <f>IFERROR(__xludf.DUMMYFUNCTION("GOOGLETRANSLATE(K241,""en"",""hi"")"),"यह टैटू स्टूडियो बॉडी आर्ट सेवाएं प्रदान करता है। डिज़ाइन ग्राहकों द्वारा चुने जाते हैं। स्वच्छता मानकों का पालन किया जाता है।")</f>
        <v>यह टैटू स्टूडियो बॉडी आर्ट सेवाएं प्रदान करता है। डिज़ाइन ग्राहकों द्वारा चुने जाते हैं। स्वच्छता मानकों का पालन किया जाता है।</v>
      </c>
      <c r="N241" s="10" t="str">
        <f>IFERROR(__xludf.DUMMYFUNCTION("GOOGLETRANSLATE(K241,""en"",""ta"")"),"டாட்டூ ஸ்டுடியோ உடல் கலை சேவைகளை வழங்குகிறது. வடிவமைப்புகள் வாடிக்கையாளர்களால் தேர்ந்தெடுக்கப்படுகின்றன. சுகாதாரத் தரநிலைகள் பின்பற்றப்படுகின்றன.")</f>
        <v>டாட்டூ ஸ்டுடியோ உடல் கலை சேவைகளை வழங்குகிறது. வடிவமைப்புகள் வாடிக்கையாளர்களால் தேர்ந்தெடுக்கப்படுகின்றன. சுகாதாரத் தரநிலைகள் பின்பற்றப்படுகின்றன.</v>
      </c>
      <c r="O241" s="10" t="str">
        <f>IFERROR(__xludf.DUMMYFUNCTION("GOOGLETRANSLATE(K241,""en"",""kn"")"),"ಟ್ಯಾಟೂ ಸ್ಟುಡಿಯೋ ಬಾಡಿ ಆರ್ಟ್ ಸೇವೆಗಳನ್ನು ನೀಡುತ್ತದೆ. ವಿನ್ಯಾಸಗಳನ್ನು ಗ್ರಾಹಕರು ಆಯ್ಕೆ ಮಾಡುತ್ತಾರೆ. ನೈರ್ಮಲ್ಯ ಮಾನದಂಡಗಳನ್ನು ಅನುಸರಿಸಲಾಗುತ್ತದೆ.")</f>
        <v>ಟ್ಯಾಟೂ ಸ್ಟುಡಿಯೋ ಬಾಡಿ ಆರ್ಟ್ ಸೇವೆಗಳನ್ನು ನೀಡುತ್ತದೆ. ವಿನ್ಯಾಸಗಳನ್ನು ಗ್ರಾಹಕರು ಆಯ್ಕೆ ಮಾಡುತ್ತಾರೆ. ನೈರ್ಮಲ್ಯ ಮಾನದಂಡಗಳನ್ನು ಅನುಸರಿಸಲಾಗುತ್ತದೆ.</v>
      </c>
      <c r="P241" s="10" t="str">
        <f>IFERROR(__xludf.DUMMYFUNCTION("GOOGLETRANSLATE(K241,""en"",""ml"")"),"ടാറ്റൂ സ്റ്റുഡിയോ ബോഡി ആർട്ട് സേവനങ്ങൾ വാഗ്ദാനം ചെയ്യുന്നു. ഡിസൈനുകൾ ഉപഭോക്താക്കൾ തിരഞ്ഞെടുക്കുന്നു. ശുചിത്വ മാനദണ്ഡങ്ങൾ പാലിക്കുന്നു.")</f>
        <v>ടാറ്റൂ സ്റ്റുഡിയോ ബോഡി ആർട്ട് സേവനങ്ങൾ വാഗ്ദാനം ചെയ്യുന്നു. ഡിസൈനുകൾ ഉപഭോക്താക്കൾ തിരഞ്ഞെടുക്കുന്നു. ശുചിത്വ മാനദണ്ഡങ്ങൾ പാലിക്കുന്നു.</v>
      </c>
    </row>
    <row r="242">
      <c r="A242" s="6">
        <f t="shared" si="1"/>
        <v>241</v>
      </c>
      <c r="B242" s="6" t="s">
        <v>890</v>
      </c>
      <c r="C242" s="6">
        <v>16.0729273</v>
      </c>
      <c r="D242" s="6">
        <v>78.8703175</v>
      </c>
      <c r="E242" s="5" t="s">
        <v>765</v>
      </c>
      <c r="F242" s="10" t="str">
        <f>IFERROR(__xludf.DUMMYFUNCTION("GOOGLETRANSLATE(B242,""en"",""te"")"),"రాజు బ్యాంగిల్స్ స్టోర్")</f>
        <v>రాజు బ్యాంగిల్స్ స్టోర్</v>
      </c>
      <c r="G242" s="10" t="str">
        <f>IFERROR(__xludf.DUMMYFUNCTION("GOOGLETRANSLATE(B242,""en"",""hi"")"),"राजू चूड़ी की दुकान")</f>
        <v>राजू चूड़ी की दुकान</v>
      </c>
      <c r="H242" s="10" t="str">
        <f>IFERROR(__xludf.DUMMYFUNCTION("GOOGLETRANSLATE(B242,""en"",""ta"")"),"ராஜு பேங்கல்ஸ் ஸ்டோர்")</f>
        <v>ராஜு பேங்கல்ஸ் ஸ்டோர்</v>
      </c>
      <c r="I242" s="10" t="str">
        <f>IFERROR(__xludf.DUMMYFUNCTION("GOOGLETRANSLATE(B242,""en"",""kn"")"),"ರಾಜು ಬ್ಯಾಂಗಲ್ಸ್ ಸ್ಟೋರ್")</f>
        <v>ರಾಜು ಬ್ಯಾಂಗಲ್ಸ್ ಸ್ಟೋರ್</v>
      </c>
      <c r="J242" s="10" t="str">
        <f>IFERROR(__xludf.DUMMYFUNCTION("GOOGLETRANSLATE(B242,""en"",""ml"")"),"രാജു ബ്യാംജല്സ് സ്ടോര്")</f>
        <v>രാജു ബ്യാംജല്സ് സ്ടോര്</v>
      </c>
      <c r="K242" s="12" t="s">
        <v>891</v>
      </c>
      <c r="L242" s="10" t="str">
        <f>IFERROR(__xludf.DUMMYFUNCTION("GOOGLETRANSLATE(K242,""en"",""te"")"),"ఈ దుకాణం గాజులు మరియు ఫ్యాషన్ ఉపకరణాలను విక్రయిస్తుంది. ఇది ప్రధానంగా మహిళా దుకాణదారులకు సేవలు అందిస్తుంది.")</f>
        <v>ఈ దుకాణం గాజులు మరియు ఫ్యాషన్ ఉపకరణాలను విక్రయిస్తుంది. ఇది ప్రధానంగా మహిళా దుకాణదారులకు సేవలు అందిస్తుంది.</v>
      </c>
      <c r="M242" s="10" t="str">
        <f>IFERROR(__xludf.DUMMYFUNCTION("GOOGLETRANSLATE(K242,""en"",""hi"")"),"यह दुकान चूड़ियाँ और फैशन के सामान बेचती है। यह मुख्य रूप से महिला ग्राहकों को सेवा प्रदान करती है।")</f>
        <v>यह दुकान चूड़ियाँ और फैशन के सामान बेचती है। यह मुख्य रूप से महिला ग्राहकों को सेवा प्रदान करती है।</v>
      </c>
      <c r="N242" s="10" t="str">
        <f>IFERROR(__xludf.DUMMYFUNCTION("GOOGLETRANSLATE(K242,""en"",""ta"")"),"இந்தக் கடை வளையல்கள் மற்றும் ஃபேஷன் அணிகலன்களை விற்கிறது. இது முக்கியமாக பெண்களை வாங்குபவர்களுக்கு ஏற்றது.")</f>
        <v>இந்தக் கடை வளையல்கள் மற்றும் ஃபேஷன் அணிகலன்களை விற்கிறது. இது முக்கியமாக பெண்களை வாங்குபவர்களுக்கு ஏற்றது.</v>
      </c>
      <c r="O242" s="10" t="str">
        <f>IFERROR(__xludf.DUMMYFUNCTION("GOOGLETRANSLATE(K242,""en"",""kn"")"),"ಈ ಅಂಗಡಿಯು ಬಳೆಗಳು ಮತ್ತು ಫ್ಯಾಷನ್ ಪರಿಕರಗಳನ್ನು ಮಾರಾಟ ಮಾಡುತ್ತದೆ. ಇದು ಮುಖ್ಯವಾಗಿ ಮಹಿಳಾ ಖರೀದಿದಾರರಿಗೆ ಸೇವೆ ಒದಗಿಸುತ್ತದೆ.")</f>
        <v>ಈ ಅಂಗಡಿಯು ಬಳೆಗಳು ಮತ್ತು ಫ್ಯಾಷನ್ ಪರಿಕರಗಳನ್ನು ಮಾರಾಟ ಮಾಡುತ್ತದೆ. ಇದು ಮುಖ್ಯವಾಗಿ ಮಹಿಳಾ ಖರೀದಿದಾರರಿಗೆ ಸೇವೆ ಒದಗಿಸುತ್ತದೆ.</v>
      </c>
      <c r="P242" s="10" t="str">
        <f>IFERROR(__xludf.DUMMYFUNCTION("GOOGLETRANSLATE(K242,""en"",""ml"")"),"ഈ കടയിൽ വളകളും ഫാഷൻ ആക്‌സസറികളും വിൽക്കുന്നു. പ്രധാനമായും സ്ത്രീകളായ ഷോപ്പർമാരെ ഉദ്ദേശിച്ചാണ് ഇത് പ്രവർത്തിക്കുന്നത്.")</f>
        <v>ഈ കടയിൽ വളകളും ഫാഷൻ ആക്‌സസറികളും വിൽക്കുന്നു. പ്രധാനമായും സ്ത്രീകളായ ഷോപ്പർമാരെ ഉദ്ദേശിച്ചാണ് ഇത് പ്രവർത്തിക്കുന്നത്.</v>
      </c>
    </row>
    <row r="243">
      <c r="A243" s="6">
        <f t="shared" si="1"/>
        <v>242</v>
      </c>
      <c r="B243" s="6" t="s">
        <v>892</v>
      </c>
      <c r="C243" s="6">
        <v>16.0728074</v>
      </c>
      <c r="D243" s="6">
        <v>78.8717206</v>
      </c>
      <c r="E243" s="5" t="s">
        <v>765</v>
      </c>
      <c r="F243" s="10" t="str">
        <f>IFERROR(__xludf.DUMMYFUNCTION("GOOGLETRANSLATE(B243,""en"",""te"")"),"కంగన్ మహల్")</f>
        <v>కంగన్ మహల్</v>
      </c>
      <c r="G243" s="10" t="str">
        <f>IFERROR(__xludf.DUMMYFUNCTION("GOOGLETRANSLATE(B243,""en"",""hi"")"),"कंगन महल")</f>
        <v>कंगन महल</v>
      </c>
      <c r="H243" s="10" t="str">
        <f>IFERROR(__xludf.DUMMYFUNCTION("GOOGLETRANSLATE(B243,""en"",""ta"")"),"கங்கன் மஹால்")</f>
        <v>கங்கன் மஹால்</v>
      </c>
      <c r="I243" s="10" t="str">
        <f>IFERROR(__xludf.DUMMYFUNCTION("GOOGLETRANSLATE(B243,""en"",""kn"")"),"ಕಂಗನ್ ಮಹಲ್")</f>
        <v>ಕಂಗನ್ ಮಹಲ್</v>
      </c>
      <c r="J243" s="10" t="str">
        <f>IFERROR(__xludf.DUMMYFUNCTION("GOOGLETRANSLATE(B243,""en"",""ml"")"),"കങ്കൻ മഹൽ")</f>
        <v>കങ്കൻ മഹൽ</v>
      </c>
      <c r="K243" s="12" t="s">
        <v>893</v>
      </c>
      <c r="L243" s="10" t="str">
        <f>IFERROR(__xludf.DUMMYFUNCTION("GOOGLETRANSLATE(K243,""en"",""te"")"),"కంగన్ మహల్ గాజులు మరియు ఆభరణాల ఉపకరణాలను అందిస్తుంది. దీనిని సాధారణంగా దుకాణదారులు సందర్శిస్తారు. సులభంగా ఎంచుకోవడానికి ఉత్పత్తులు ప్రదర్శించబడతాయి. షాపింగ్ ప్రాంతంలో ఉంది.")</f>
        <v>కంగన్ మహల్ గాజులు మరియు ఆభరణాల ఉపకరణాలను అందిస్తుంది. దీనిని సాధారణంగా దుకాణదారులు సందర్శిస్తారు. సులభంగా ఎంచుకోవడానికి ఉత్పత్తులు ప్రదర్శించబడతాయి. షాపింగ్ ప్రాంతంలో ఉంది.</v>
      </c>
      <c r="M243" s="10" t="str">
        <f>IFERROR(__xludf.DUMMYFUNCTION("GOOGLETRANSLATE(K243,""en"",""hi"")"),"कंगन महल में चूड़ियाँ और आभूषण मिलते हैं। यहाँ अक्सर ग्राहक आते हैं। उत्पादों को इस तरह प्रदर्शित किया जाता है कि उन्हें चुनना आसान हो। यह खरीदारी क्षेत्र में स्थित है।")</f>
        <v>कंगन महल में चूड़ियाँ और आभूषण मिलते हैं। यहाँ अक्सर ग्राहक आते हैं। उत्पादों को इस तरह प्रदर्शित किया जाता है कि उन्हें चुनना आसान हो। यह खरीदारी क्षेत्र में स्थित है।</v>
      </c>
      <c r="N243" s="10" t="str">
        <f>IFERROR(__xludf.DUMMYFUNCTION("GOOGLETRANSLATE(K243,""en"",""ta"")"),"கங்கன் மஹால் வளையல்கள் மற்றும் அலங்கார ஆபரணங்களை வழங்குகிறது. இது பொதுவாக கடைக்காரர்களால் பார்வையிடப்படுகிறது. எளிதாகத் தேர்ந்தெடுப்பதற்காக தயாரிப்புகள் காட்சிப்படுத்தப்படுகின்றன. ஷாப்பிங் பகுதியில் அமைந்துள்ளது.")</f>
        <v>கங்கன் மஹால் வளையல்கள் மற்றும் அலங்கார ஆபரணங்களை வழங்குகிறது. இது பொதுவாக கடைக்காரர்களால் பார்வையிடப்படுகிறது. எளிதாகத் தேர்ந்தெடுப்பதற்காக தயாரிப்புகள் காட்சிப்படுத்தப்படுகின்றன. ஷாப்பிங் பகுதியில் அமைந்துள்ளது.</v>
      </c>
      <c r="O243" s="10" t="str">
        <f>IFERROR(__xludf.DUMMYFUNCTION("GOOGLETRANSLATE(K243,""en"",""kn"")"),"ಕಂಗನ್ ಮಹಲ್ ಬಳೆಗಳು ಮತ್ತು ಆಭರಣ ಪರಿಕರಗಳನ್ನು ನೀಡುತ್ತದೆ. ಇಲ್ಲಿಗೆ ಸಾಮಾನ್ಯವಾಗಿ ಖರೀದಿದಾರರು ಭೇಟಿ ನೀಡುತ್ತಾರೆ. ಸುಲಭ ಆಯ್ಕೆಗಾಗಿ ಉತ್ಪನ್ನಗಳನ್ನು ಪ್ರದರ್ಶಿಸಲಾಗುತ್ತದೆ. ಶಾಪಿಂಗ್ ಪ್ರದೇಶದಲ್ಲಿದೆ.")</f>
        <v>ಕಂಗನ್ ಮಹಲ್ ಬಳೆಗಳು ಮತ್ತು ಆಭರಣ ಪರಿಕರಗಳನ್ನು ನೀಡುತ್ತದೆ. ಇಲ್ಲಿಗೆ ಸಾಮಾನ್ಯವಾಗಿ ಖರೀದಿದಾರರು ಭೇಟಿ ನೀಡುತ್ತಾರೆ. ಸುಲಭ ಆಯ್ಕೆಗಾಗಿ ಉತ್ಪನ್ನಗಳನ್ನು ಪ್ರದರ್ಶಿಸಲಾಗುತ್ತದೆ. ಶಾಪಿಂಗ್ ಪ್ರದೇಶದಲ್ಲಿದೆ.</v>
      </c>
      <c r="P243" s="10" t="str">
        <f>IFERROR(__xludf.DUMMYFUNCTION("GOOGLETRANSLATE(K243,""en"",""ml"")"),"കങ്കൻ മഹലിൽ വളകളും അലങ്കാരവസ്തുക്കളും ലഭ്യമാണ്. സാധാരണയായി ഷോപ്പർമാർ ഇവിടെ സന്ദർശിക്കാറുണ്ട്. എളുപ്പത്തിൽ തിരഞ്ഞെടുക്കുന്നതിനായി ഉൽപ്പന്നങ്ങൾ പ്രദർശിപ്പിച്ചിരിക്കുന്നു. ഷോപ്പിംഗ് ഏരിയയിലാണ് ഇത് സ്ഥിതി ചെയ്യുന്നത്.")</f>
        <v>കങ്കൻ മഹലിൽ വളകളും അലങ്കാരവസ്തുക്കളും ലഭ്യമാണ്. സാധാരണയായി ഷോപ്പർമാർ ഇവിടെ സന്ദർശിക്കാറുണ്ട്. എളുപ്പത്തിൽ തിരഞ്ഞെടുക്കുന്നതിനായി ഉൽപ്പന്നങ്ങൾ പ്രദർശിപ്പിച്ചിരിക്കുന്നു. ഷോപ്പിംഗ് ഏരിയയിലാണ് ഇത് സ്ഥിതി ചെയ്യുന്നത്.</v>
      </c>
    </row>
    <row r="244">
      <c r="A244" s="6">
        <f t="shared" si="1"/>
        <v>243</v>
      </c>
      <c r="B244" s="6" t="s">
        <v>894</v>
      </c>
      <c r="C244" s="6">
        <v>16.0732067</v>
      </c>
      <c r="D244" s="6">
        <v>78.8728727</v>
      </c>
      <c r="E244" s="5" t="s">
        <v>765</v>
      </c>
      <c r="F244" s="10" t="str">
        <f>IFERROR(__xludf.DUMMYFUNCTION("GOOGLETRANSLATE(B244,""en"",""te"")"),"ఎస్.బి.ఎం.ఎస్ ఫాబ్రిక్స్")</f>
        <v>ఎస్.బి.ఎం.ఎస్ ఫాబ్రిక్స్</v>
      </c>
      <c r="G244" s="10" t="str">
        <f>IFERROR(__xludf.DUMMYFUNCTION("GOOGLETRANSLATE(B244,""en"",""hi"")"),"एस.बी.एम.एस फैब्रिक्स")</f>
        <v>एस.बी.एम.एस फैब्रिक्स</v>
      </c>
      <c r="H244" s="10" t="str">
        <f>IFERROR(__xludf.DUMMYFUNCTION("GOOGLETRANSLATE(B244,""en"",""ta"")"),"எஸ்.பி.எம்.எஸ் துணிகள்")</f>
        <v>எஸ்.பி.எம்.எஸ் துணிகள்</v>
      </c>
      <c r="I244" s="10" t="str">
        <f>IFERROR(__xludf.DUMMYFUNCTION("GOOGLETRANSLATE(B244,""en"",""kn"")"),"ಎಸ್.ಬಿ.ಎಂ.ಎಸ್. ಫ್ಯಾಬ್ರಿಕ್ಸ್")</f>
        <v>ಎಸ್.ಬಿ.ಎಂ.ಎಸ್. ಫ್ಯಾಬ್ರಿಕ್ಸ್</v>
      </c>
      <c r="J244" s="10" t="str">
        <f>IFERROR(__xludf.DUMMYFUNCTION("GOOGLETRANSLATE(B244,""en"",""ml"")"),"എസ്.ബി.എം.എസ് ഫാബ്രിക്സ്")</f>
        <v>എസ്.ബി.എം.എസ് ഫാബ്രിക്സ്</v>
      </c>
      <c r="K244" s="12" t="s">
        <v>895</v>
      </c>
      <c r="L244" s="10" t="str">
        <f>IFERROR(__xludf.DUMMYFUNCTION("GOOGLETRANSLATE(K244,""en"",""te"")"),"ఈ దుకాణం ఫాబ్రిక్ మరియు దుస్తుల సామాగ్రిని విక్రయిస్తుంది. ఇది టైలరింగ్ మరియు వ్యక్తిగత కొనుగోలు అవసరాలను తీరుస్తుంది. వివిధ రకాల ఫాబ్రిక్‌లు అందుబాటులో ఉన్నాయి.")</f>
        <v>ఈ దుకాణం ఫాబ్రిక్ మరియు దుస్తుల సామాగ్రిని విక్రయిస్తుంది. ఇది టైలరింగ్ మరియు వ్యక్తిగత కొనుగోలు అవసరాలను తీరుస్తుంది. వివిధ రకాల ఫాబ్రిక్‌లు అందుబాటులో ఉన్నాయి.</v>
      </c>
      <c r="M244" s="10" t="str">
        <f>IFERROR(__xludf.DUMMYFUNCTION("GOOGLETRANSLATE(K244,""en"",""hi"")"),"यह दुकान कपड़ा और वस्त्र सामग्री बेचती है। यह सिलाई और व्यक्तिगत खरीदारी की जरूरतों को पूरा करती है। यहां विभिन्न प्रकार के कपड़े उपलब्ध हैं।")</f>
        <v>यह दुकान कपड़ा और वस्त्र सामग्री बेचती है। यह सिलाई और व्यक्तिगत खरीदारी की जरूरतों को पूरा करती है। यहां विभिन्न प्रकार के कपड़े उपलब्ध हैं।</v>
      </c>
      <c r="N244" s="10" t="str">
        <f>IFERROR(__xludf.DUMMYFUNCTION("GOOGLETRANSLATE(K244,""en"",""ta"")"),"இந்த கடை துணி மற்றும் ஆடைப் பொருட்களை விற்பனை செய்கிறது. இது தையல் மற்றும் தனிப்பட்ட கொள்முதல் தேவைகளுக்கு சேவை செய்கிறது. பல்வேறு வகையான துணிகள் கிடைக்கின்றன.")</f>
        <v>இந்த கடை துணி மற்றும் ஆடைப் பொருட்களை விற்பனை செய்கிறது. இது தையல் மற்றும் தனிப்பட்ட கொள்முதல் தேவைகளுக்கு சேவை செய்கிறது. பல்வேறு வகையான துணிகள் கிடைக்கின்றன.</v>
      </c>
      <c r="O244" s="10" t="str">
        <f>IFERROR(__xludf.DUMMYFUNCTION("GOOGLETRANSLATE(K244,""en"",""kn"")"),"ಈ ಅಂಗಡಿಯು ಬಟ್ಟೆ ಮತ್ತು ಬಟ್ಟೆ ಸಾಮಗ್ರಿಗಳನ್ನು ಮಾರಾಟ ಮಾಡುತ್ತದೆ. ಇದು ಟೈಲರಿಂಗ್ ಮತ್ತು ವೈಯಕ್ತಿಕ ಖರೀದಿ ಅಗತ್ಯಗಳನ್ನು ಪೂರೈಸುತ್ತದೆ. ವಿವಿಧ ರೀತಿಯ ಬಟ್ಟೆಗಳು ಲಭ್ಯವಿದೆ.")</f>
        <v>ಈ ಅಂಗಡಿಯು ಬಟ್ಟೆ ಮತ್ತು ಬಟ್ಟೆ ಸಾಮಗ್ರಿಗಳನ್ನು ಮಾರಾಟ ಮಾಡುತ್ತದೆ. ಇದು ಟೈಲರಿಂಗ್ ಮತ್ತು ವೈಯಕ್ತಿಕ ಖರೀದಿ ಅಗತ್ಯಗಳನ್ನು ಪೂರೈಸುತ್ತದೆ. ವಿವಿಧ ರೀತಿಯ ಬಟ್ಟೆಗಳು ಲಭ್ಯವಿದೆ.</v>
      </c>
      <c r="P244" s="10" t="str">
        <f>IFERROR(__xludf.DUMMYFUNCTION("GOOGLETRANSLATE(K244,""en"",""ml"")"),"ഈ കടയിൽ തുണിത്തരങ്ങളും വസ്ത്രങ്ങളും വിൽക്കുന്നു. തയ്യൽ ആവശ്യങ്ങൾക്കും വ്യക്തിഗത വാങ്ങലുകൾക്കുമായി വിവിധ തരം തുണിത്തരങ്ങൾ ലഭ്യമാണ്.")</f>
        <v>ഈ കടയിൽ തുണിത്തരങ്ങളും വസ്ത്രങ്ങളും വിൽക്കുന്നു. തയ്യൽ ആവശ്യങ്ങൾക്കും വ്യക്തിഗത വാങ്ങലുകൾക്കുമായി വിവിധ തരം തുണിത്തരങ്ങൾ ലഭ്യമാണ്.</v>
      </c>
    </row>
    <row r="245">
      <c r="A245" s="6">
        <f t="shared" si="1"/>
        <v>244</v>
      </c>
      <c r="B245" s="6" t="s">
        <v>896</v>
      </c>
      <c r="C245" s="6">
        <v>16.0731901</v>
      </c>
      <c r="D245" s="6">
        <v>78.8702978</v>
      </c>
      <c r="E245" s="5" t="s">
        <v>765</v>
      </c>
      <c r="F245" s="8" t="s">
        <v>897</v>
      </c>
      <c r="G245" s="10" t="str">
        <f>IFERROR(__xludf.DUMMYFUNCTION("GOOGLETRANSLATE(B245,""en"",""hi"")"),"श्री ललिताम्बा वाणीग्य समुदायम्")</f>
        <v>श्री ललिताम्बा वाणीग्य समुदायम्</v>
      </c>
      <c r="H245" s="8" t="s">
        <v>898</v>
      </c>
      <c r="I245" s="8" t="s">
        <v>899</v>
      </c>
      <c r="J245" s="8" t="s">
        <v>900</v>
      </c>
      <c r="K245" s="12" t="s">
        <v>901</v>
      </c>
      <c r="L245" s="10" t="str">
        <f>IFERROR(__xludf.DUMMYFUNCTION("GOOGLETRANSLATE(K245,""en"",""te"")"),"ఇది ఒక వాణిజ్య సంఘం లేదా వ్యాపార సౌకర్యం. ఇది స్థానిక వ్యాపార కార్యకలాపాలకు మద్దతు ఇస్తుంది. యాక్సెస్ ప్రధానంగా సభ్యులు మరియు సందర్శకులకు మాత్రమే.")</f>
        <v>ఇది ఒక వాణిజ్య సంఘం లేదా వ్యాపార సౌకర్యం. ఇది స్థానిక వ్యాపార కార్యకలాపాలకు మద్దతు ఇస్తుంది. యాక్సెస్ ప్రధానంగా సభ్యులు మరియు సందర్శకులకు మాత్రమే.</v>
      </c>
      <c r="M245" s="10" t="str">
        <f>IFERROR(__xludf.DUMMYFUNCTION("GOOGLETRANSLATE(K245,""en"",""hi"")"),"यह एक वाणिज्यिक संघ या व्यापारिक केंद्र है। यह स्थानीय व्यावसायिक गतिविधियों को सहयोग प्रदान करता है। यहाँ मुख्य रूप से सदस्यों और आगंतुकों को ही प्रवेश की अनुमति है।")</f>
        <v>यह एक वाणिज्यिक संघ या व्यापारिक केंद्र है। यह स्थानीय व्यावसायिक गतिविधियों को सहयोग प्रदान करता है। यहाँ मुख्य रूप से सदस्यों और आगंतुकों को ही प्रवेश की अनुमति है।</v>
      </c>
      <c r="N245" s="10" t="str">
        <f>IFERROR(__xludf.DUMMYFUNCTION("GOOGLETRANSLATE(K245,""en"",""ta"")"),"இது ஒரு வணிக சங்கம் அல்லது வர்த்தக வசதி. இது உள்ளூர் வணிக நடவடிக்கைகளை ஆதரிக்கிறது. அணுகல் முக்கியமாக உறுப்பினர்கள் மற்றும் பார்வையாளர்களுக்கானது.")</f>
        <v>இது ஒரு வணிக சங்கம் அல்லது வர்த்தக வசதி. இது உள்ளூர் வணிக நடவடிக்கைகளை ஆதரிக்கிறது. அணுகல் முக்கியமாக உறுப்பினர்கள் மற்றும் பார்வையாளர்களுக்கானது.</v>
      </c>
      <c r="O245" s="10" t="str">
        <f>IFERROR(__xludf.DUMMYFUNCTION("GOOGLETRANSLATE(K245,""en"",""kn"")"),"ಇದು ವಾಣಿಜ್ಯ ಸಂಘ ಅಥವಾ ವ್ಯಾಪಾರ ಸೌಲಭ್ಯ. ಇದು ಸ್ಥಳೀಯ ವ್ಯಾಪಾರ ಚಟುವಟಿಕೆಗಳನ್ನು ಬೆಂಬಲಿಸುತ್ತದೆ. ಪ್ರವೇಶವು ಮುಖ್ಯವಾಗಿ ಸದಸ್ಯರು ಮತ್ತು ಸಂದರ್ಶಕರಿಗೆ ಮಾತ್ರ.")</f>
        <v>ಇದು ವಾಣಿಜ್ಯ ಸಂಘ ಅಥವಾ ವ್ಯಾಪಾರ ಸೌಲಭ್ಯ. ಇದು ಸ್ಥಳೀಯ ವ್ಯಾಪಾರ ಚಟುವಟಿಕೆಗಳನ್ನು ಬೆಂಬಲಿಸುತ್ತದೆ. ಪ್ರವೇಶವು ಮುಖ್ಯವಾಗಿ ಸದಸ್ಯರು ಮತ್ತು ಸಂದರ್ಶಕರಿಗೆ ಮಾತ್ರ.</v>
      </c>
      <c r="P245" s="10" t="str">
        <f>IFERROR(__xludf.DUMMYFUNCTION("GOOGLETRANSLATE(K245,""en"",""ml"")"),"ഇതൊരു വാണിജ്യ സംഘടനയോ വ്യാപാര സൗകര്യമോ ആണ്. ഇത് പ്രാദേശിക ബിസിനസ് പ്രവർത്തനങ്ങളെ പിന്തുണയ്ക്കുന്നു. പ്രവേശനം പ്രധാനമായും അംഗങ്ങൾക്കും സന്ദർശകർക്കും വേണ്ടിയുള്ളതാണ്.")</f>
        <v>ഇതൊരു വാണിജ്യ സംഘടനയോ വ്യാപാര സൗകര്യമോ ആണ്. ഇത് പ്രാദേശിക ബിസിനസ് പ്രവർത്തനങ്ങളെ പിന്തുണയ്ക്കുന്നു. പ്രവേശനം പ്രധാനമായും അംഗങ്ങൾക്കും സന്ദർശകർക്കും വേണ്ടിയുള്ളതാണ്.</v>
      </c>
    </row>
    <row r="246">
      <c r="A246" s="6">
        <f t="shared" si="1"/>
        <v>245</v>
      </c>
      <c r="B246" s="6" t="s">
        <v>902</v>
      </c>
      <c r="C246" s="6">
        <v>16.0729234</v>
      </c>
      <c r="D246" s="6">
        <v>78.8725116</v>
      </c>
      <c r="E246" s="5" t="s">
        <v>765</v>
      </c>
      <c r="F246" s="8" t="s">
        <v>903</v>
      </c>
      <c r="G246" s="10" t="str">
        <f>IFERROR(__xludf.DUMMYFUNCTION("GOOGLETRANSLATE(B246,""en"",""hi"")"),"ललितंबिका शॉपिंग कॉम्प्लेक्स, श्रीशैलम")</f>
        <v>ललितंबिका शॉपिंग कॉम्प्लेक्स, श्रीशैलम</v>
      </c>
      <c r="H246" s="8" t="s">
        <v>904</v>
      </c>
      <c r="I246" s="8" t="s">
        <v>905</v>
      </c>
      <c r="J246" s="8" t="s">
        <v>906</v>
      </c>
      <c r="K246" s="12" t="s">
        <v>907</v>
      </c>
      <c r="L246" s="10" t="str">
        <f>IFERROR(__xludf.DUMMYFUNCTION("GOOGLETRANSLATE(K246,""en"",""te"")"),"ఈ షాపింగ్ కాంప్లెక్స్‌లో బహుళ రిటైల్ దుకాణాలు ఉన్నాయి. ఇది షాపింగ్ అవసరాలకు ఒకే స్థలాన్ని అందిస్తుంది. సందర్శకులు వివిధ సేవలను పొందవచ్చు.")</f>
        <v>ఈ షాపింగ్ కాంప్లెక్స్‌లో బహుళ రిటైల్ దుకాణాలు ఉన్నాయి. ఇది షాపింగ్ అవసరాలకు ఒకే స్థలాన్ని అందిస్తుంది. సందర్శకులు వివిధ సేవలను పొందవచ్చు.</v>
      </c>
      <c r="M246" s="10" t="str">
        <f>IFERROR(__xludf.DUMMYFUNCTION("GOOGLETRANSLATE(K246,""en"",""hi"")"),"इस शॉपिंग कॉम्प्लेक्स में कई खुदरा दुकानें हैं। यह खरीदारी की सभी जरूरतों के लिए एक ही स्थान उपलब्ध कराता है। आगंतुक विभिन्न सेवाओं का लाभ उठा सकते हैं।")</f>
        <v>इस शॉपिंग कॉम्प्लेक्स में कई खुदरा दुकानें हैं। यह खरीदारी की सभी जरूरतों के लिए एक ही स्थान उपलब्ध कराता है। आगंतुक विभिन्न सेवाओं का लाभ उठा सकते हैं।</v>
      </c>
      <c r="N246" s="10" t="str">
        <f>IFERROR(__xludf.DUMMYFUNCTION("GOOGLETRANSLATE(K246,""en"",""ta"")"),"இந்த ஷாப்பிங் வளாகத்தில் பல சில்லறை விற்பனை கடைகள் உள்ளன. ஷாப்பிங் தேவைகளுக்கு இது ஒரே இடத்தை வழங்குகிறது. பார்வையாளர்கள் பல்வேறு சேவைகளை அணுகலாம்.")</f>
        <v>இந்த ஷாப்பிங் வளாகத்தில் பல சில்லறை விற்பனை கடைகள் உள்ளன. ஷாப்பிங் தேவைகளுக்கு இது ஒரே இடத்தை வழங்குகிறது. பார்வையாளர்கள் பல்வேறு சேவைகளை அணுகலாம்.</v>
      </c>
      <c r="O246" s="10" t="str">
        <f>IFERROR(__xludf.DUMMYFUNCTION("GOOGLETRANSLATE(K246,""en"",""kn"")"),"ಈ ಶಾಪಿಂಗ್ ಸಂಕೀರ್ಣವು ಹಲವಾರು ಚಿಲ್ಲರೆ ಅಂಗಡಿಗಳನ್ನು ಹೊಂದಿದೆ. ಇದು ಶಾಪಿಂಗ್ ಅಗತ್ಯಗಳಿಗಾಗಿ ಒಂದೇ ಸ್ಥಳವನ್ನು ಒದಗಿಸುತ್ತದೆ. ಸಂದರ್ಶಕರು ವಿವಿಧ ಸೇವೆಗಳನ್ನು ಪಡೆಯಬಹುದು.")</f>
        <v>ಈ ಶಾಪಿಂಗ್ ಸಂಕೀರ್ಣವು ಹಲವಾರು ಚಿಲ್ಲರೆ ಅಂಗಡಿಗಳನ್ನು ಹೊಂದಿದೆ. ಇದು ಶಾಪಿಂಗ್ ಅಗತ್ಯಗಳಿಗಾಗಿ ಒಂದೇ ಸ್ಥಳವನ್ನು ಒದಗಿಸುತ್ತದೆ. ಸಂದರ್ಶಕರು ವಿವಿಧ ಸೇವೆಗಳನ್ನು ಪಡೆಯಬಹುದು.</v>
      </c>
      <c r="P246" s="10" t="str">
        <f>IFERROR(__xludf.DUMMYFUNCTION("GOOGLETRANSLATE(K246,""en"",""ml"")"),"ഈ ഷോപ്പിംഗ് കോംപ്ലക്സിൽ ഒന്നിലധികം റീട്ടെയിൽ ഷോപ്പുകൾ ഉണ്ട്. ഷോപ്പിംഗ് ആവശ്യങ്ങൾക്കായി ഇത് ഒരൊറ്റ സ്ഥലം നൽകുന്നു. സന്ദർശകർക്ക് വിവിധ സേവനങ്ങൾ ആക്‌സസ് ചെയ്യാൻ കഴിയും.")</f>
        <v>ഈ ഷോപ്പിംഗ് കോംപ്ലക്സിൽ ഒന്നിലധികം റീട്ടെയിൽ ഷോപ്പുകൾ ഉണ്ട്. ഷോപ്പിംഗ് ആവശ്യങ്ങൾക്കായി ഇത് ഒരൊറ്റ സ്ഥലം നൽകുന്നു. സന്ദർശകർക്ക് വിവിധ സേവനങ്ങൾ ആക്‌സസ് ചെയ്യാൻ കഴിയും.</v>
      </c>
    </row>
    <row r="247">
      <c r="A247" s="6">
        <f t="shared" si="1"/>
        <v>246</v>
      </c>
      <c r="B247" s="6" t="s">
        <v>908</v>
      </c>
      <c r="C247" s="6">
        <v>16.0740868</v>
      </c>
      <c r="D247" s="6">
        <v>78.8733371</v>
      </c>
      <c r="E247" s="5" t="s">
        <v>765</v>
      </c>
      <c r="F247" s="10" t="str">
        <f>IFERROR(__xludf.DUMMYFUNCTION("GOOGLETRANSLATE(B247,""en"",""te"")"),"శ్రి శ్రీ తత్త్వ స్టోర్")</f>
        <v>శ్రి శ్రీ తత్త్వ స్టోర్</v>
      </c>
      <c r="G247" s="10" t="str">
        <f>IFERROR(__xludf.DUMMYFUNCTION("GOOGLETRANSLATE(B247,""en"",""hi"")"),"श्री श्री तत्व स्टोर")</f>
        <v>श्री श्री तत्व स्टोर</v>
      </c>
      <c r="H247" s="10" t="str">
        <f>IFERROR(__xludf.DUMMYFUNCTION("GOOGLETRANSLATE(B247,""en"",""ta"")"),"ஸ்ரீ ஸ்ரீ தத்வா ஸ்டோர்")</f>
        <v>ஸ்ரீ ஸ்ரீ தத்வா ஸ்டோர்</v>
      </c>
      <c r="I247" s="10" t="str">
        <f>IFERROR(__xludf.DUMMYFUNCTION("GOOGLETRANSLATE(B247,""en"",""kn"")"),"ಶ್ರಿ ಶ್ರಿ ತತ್ವಾ ಸ್ಟೋರ್")</f>
        <v>ಶ್ರಿ ಶ್ರಿ ತತ್ವಾ ಸ್ಟೋರ್</v>
      </c>
      <c r="J247" s="10" t="str">
        <f>IFERROR(__xludf.DUMMYFUNCTION("GOOGLETRANSLATE(B247,""en"",""ml"")"),"ഷ്രി ഷ്രി തത്വ സ്ടോര്")</f>
        <v>ഷ്രി ഷ്രി തത്വ സ്ടോര്</v>
      </c>
      <c r="K247" s="12" t="s">
        <v>909</v>
      </c>
      <c r="L247" s="10" t="str">
        <f>IFERROR(__xludf.DUMMYFUNCTION("GOOGLETRANSLATE(K247,""en"",""te"")"),"శ్రీ శ్రీ తత్త్వ స్టోర్ వెల్నెస్ మరియు రోజువారీ వినియోగ ఉత్పత్తులను విక్రయిస్తుంది. వస్తువులలో ఆరోగ్యం మరియు జీవనశైలి వస్తువులు ఉన్నాయి. ఉత్పత్తులు ముందే ప్యాక్ చేయబడతాయి.")</f>
        <v>శ్రీ శ్రీ తత్త్వ స్టోర్ వెల్నెస్ మరియు రోజువారీ వినియోగ ఉత్పత్తులను విక్రయిస్తుంది. వస్తువులలో ఆరోగ్యం మరియు జీవనశైలి వస్తువులు ఉన్నాయి. ఉత్పత్తులు ముందే ప్యాక్ చేయబడతాయి.</v>
      </c>
      <c r="M247" s="10" t="str">
        <f>IFERROR(__xludf.DUMMYFUNCTION("GOOGLETRANSLATE(K247,""en"",""hi"")"),"श्री श्री तत्व स्टोर में स्वास्थ्य और दैनिक उपयोग के उत्पाद बेचे जाते हैं। इनमें स्वास्थ्य और जीवनशैली से संबंधित सामान शामिल हैं। उत्पाद पहले से पैक किए हुए होते हैं।")</f>
        <v>श्री श्री तत्व स्टोर में स्वास्थ्य और दैनिक उपयोग के उत्पाद बेचे जाते हैं। इनमें स्वास्थ्य और जीवनशैली से संबंधित सामान शामिल हैं। उत्पाद पहले से पैक किए हुए होते हैं।</v>
      </c>
      <c r="N247" s="10" t="str">
        <f>IFERROR(__xludf.DUMMYFUNCTION("GOOGLETRANSLATE(K247,""en"",""ta"")"),"ஸ்ரீ ஸ்ரீ தத்வா ஸ்டோர் ஆரோக்கியம் மற்றும் அன்றாட பயன்பாட்டு பொருட்களை விற்பனை செய்கிறது. பொருட்களில் சுகாதாரம் மற்றும் வாழ்க்கை முறை பொருட்கள் அடங்கும். தயாரிப்புகள் முன்கூட்டியே பேக் செய்யப்படுகின்றன.")</f>
        <v>ஸ்ரீ ஸ்ரீ தத்வா ஸ்டோர் ஆரோக்கியம் மற்றும் அன்றாட பயன்பாட்டு பொருட்களை விற்பனை செய்கிறது. பொருட்களில் சுகாதாரம் மற்றும் வாழ்க்கை முறை பொருட்கள் அடங்கும். தயாரிப்புகள் முன்கூட்டியே பேக் செய்யப்படுகின்றன.</v>
      </c>
      <c r="O247" s="10" t="str">
        <f>IFERROR(__xludf.DUMMYFUNCTION("GOOGLETRANSLATE(K247,""en"",""kn"")"),"ಶ್ರೀ ಶ್ರೀ ತತ್ವ ಅಂಗಡಿಯು ಆರೋಗ್ಯ ಮತ್ತು ದೈನಂದಿನ ಬಳಕೆಯ ಉತ್ಪನ್ನಗಳನ್ನು ಮಾರಾಟ ಮಾಡುತ್ತದೆ. ಆರೋಗ್ಯ ಮತ್ತು ಜೀವನಶೈಲಿ ಉತ್ಪನ್ನಗಳು ಇದರಲ್ಲಿ ಸೇರಿವೆ. ಉತ್ಪನ್ನಗಳನ್ನು ಮೊದಲೇ ಪ್ಯಾಕ್ ಮಾಡಲಾಗುತ್ತದೆ.")</f>
        <v>ಶ್ರೀ ಶ್ರೀ ತತ್ವ ಅಂಗಡಿಯು ಆರೋಗ್ಯ ಮತ್ತು ದೈನಂದಿನ ಬಳಕೆಯ ಉತ್ಪನ್ನಗಳನ್ನು ಮಾರಾಟ ಮಾಡುತ್ತದೆ. ಆರೋಗ್ಯ ಮತ್ತು ಜೀವನಶೈಲಿ ಉತ್ಪನ್ನಗಳು ಇದರಲ್ಲಿ ಸೇರಿವೆ. ಉತ್ಪನ್ನಗಳನ್ನು ಮೊದಲೇ ಪ್ಯಾಕ್ ಮಾಡಲಾಗುತ್ತದೆ.</v>
      </c>
      <c r="P247" s="10" t="str">
        <f>IFERROR(__xludf.DUMMYFUNCTION("GOOGLETRANSLATE(K247,""en"",""ml"")"),"ശ്രീ ശ്രീ തത്വ സ്റ്റോർ വെൽനസ്, ദൈനംദിന ഉപയോഗ ഉൽപ്പന്നങ്ങൾ വിൽക്കുന്നു. ആരോഗ്യ, ജീവിതശൈലി ഉൽപ്പന്നങ്ങൾ ഇതിൽ ഉൾപ്പെടുന്നു. ഉൽപ്പന്നങ്ങൾ മുൻകൂട്ടി പായ്ക്ക് ചെയ്തവയാണ്.")</f>
        <v>ശ്രീ ശ്രീ തത്വ സ്റ്റോർ വെൽനസ്, ദൈനംദിന ഉപയോഗ ഉൽപ്പന്നങ്ങൾ വിൽക്കുന്നു. ആരോഗ്യ, ജീവിതശൈലി ഉൽപ്പന്നങ്ങൾ ഇതിൽ ഉൾപ്പെടുന്നു. ഉൽപ്പന്നങ്ങൾ മുൻകൂട്ടി പായ്ക്ക് ചെയ്തവയാണ്.</v>
      </c>
    </row>
    <row r="248">
      <c r="A248" s="6">
        <f t="shared" si="1"/>
        <v>247</v>
      </c>
      <c r="B248" s="6" t="s">
        <v>910</v>
      </c>
      <c r="C248" s="6">
        <v>16.0740674</v>
      </c>
      <c r="D248" s="6">
        <v>78.8739617</v>
      </c>
      <c r="E248" s="5" t="s">
        <v>765</v>
      </c>
      <c r="F248" s="8" t="s">
        <v>911</v>
      </c>
      <c r="G248" s="10" t="str">
        <f>IFERROR(__xludf.DUMMYFUNCTION("GOOGLETRANSLATE(B248,""en"",""hi"")"),"भरत जनरल स्टोर्स")</f>
        <v>भरत जनरल स्टोर्स</v>
      </c>
      <c r="H248" s="10" t="str">
        <f>IFERROR(__xludf.DUMMYFUNCTION("GOOGLETRANSLATE(B248,""en"",""ta"")"),"பாரத் ஜெனரல் ஸ்டோர்ஸ்")</f>
        <v>பாரத் ஜெனரல் ஸ்டோர்ஸ்</v>
      </c>
      <c r="I248" s="10" t="str">
        <f>IFERROR(__xludf.DUMMYFUNCTION("GOOGLETRANSLATE(B248,""en"",""kn"")"),"ಭಾರತ್ ಜನರಲ್ ಸ್ಟೋರ್ಸ್‌")</f>
        <v>ಭಾರತ್ ಜನರಲ್ ಸ್ಟೋರ್ಸ್‌</v>
      </c>
      <c r="J248" s="10" t="str">
        <f>IFERROR(__xludf.DUMMYFUNCTION("GOOGLETRANSLATE(B248,""en"",""ml"")"),"ഭാരത് ജെനരൽ സ്ടോര്സ്‌")</f>
        <v>ഭാരത് ജെനരൽ സ്ടോര്സ്‌</v>
      </c>
      <c r="K248" s="12" t="s">
        <v>912</v>
      </c>
      <c r="L248" s="10" t="str">
        <f>IFERROR(__xludf.DUMMYFUNCTION("GOOGLETRANSLATE(K248,""en"",""te"")"),"ఈ జనరల్ స్టోర్ కిరాణా సామాగ్రి మరియు రోజువారీ నిత్యావసర వస్తువులను విక్రయిస్తుంది. వస్తువులు ప్రామాణిక ధరలకు లభిస్తాయి.")</f>
        <v>ఈ జనరల్ స్టోర్ కిరాణా సామాగ్రి మరియు రోజువారీ నిత్యావసర వస్తువులను విక్రయిస్తుంది. వస్తువులు ప్రామాణిక ధరలకు లభిస్తాయి.</v>
      </c>
      <c r="M248" s="10" t="str">
        <f>IFERROR(__xludf.DUMMYFUNCTION("GOOGLETRANSLATE(K248,""en"",""hi"")"),"इस जनरल स्टोर में किराने का सामान और दैनिक उपयोग की आवश्यक वस्तुएं मिलती हैं। यहां सभी वस्तुएं सामान्य कीमतों पर उपलब्ध हैं।")</f>
        <v>इस जनरल स्टोर में किराने का सामान और दैनिक उपयोग की आवश्यक वस्तुएं मिलती हैं। यहां सभी वस्तुएं सामान्य कीमतों पर उपलब्ध हैं।</v>
      </c>
      <c r="N248" s="10" t="str">
        <f>IFERROR(__xludf.DUMMYFUNCTION("GOOGLETRANSLATE(K248,""en"",""ta"")"),"இந்தப் பொதுக் கடையில் மளிகைப் பொருட்கள் மற்றும் அன்றாட அத்தியாவசியப் பொருட்கள் விற்கப்படுகின்றன. பொருட்கள் நிலையான விலையில் கிடைக்கின்றன.")</f>
        <v>இந்தப் பொதுக் கடையில் மளிகைப் பொருட்கள் மற்றும் அன்றாட அத்தியாவசியப் பொருட்கள் விற்கப்படுகின்றன. பொருட்கள் நிலையான விலையில் கிடைக்கின்றன.</v>
      </c>
      <c r="O248" s="10" t="str">
        <f>IFERROR(__xludf.DUMMYFUNCTION("GOOGLETRANSLATE(K248,""en"",""kn"")"),"ಈ ಸಾಮಾನ್ಯ ಅಂಗಡಿಯು ದಿನಸಿ ಮತ್ತು ದಿನನಿತ್ಯದ ಅಗತ್ಯ ವಸ್ತುಗಳನ್ನು ಮಾರಾಟ ಮಾಡುತ್ತದೆ. ವಸ್ತುಗಳು ಪ್ರಮಾಣಿತ ಬೆಲೆಗಳಲ್ಲಿ ಲಭ್ಯವಿದೆ.")</f>
        <v>ಈ ಸಾಮಾನ್ಯ ಅಂಗಡಿಯು ದಿನಸಿ ಮತ್ತು ದಿನನಿತ್ಯದ ಅಗತ್ಯ ವಸ್ತುಗಳನ್ನು ಮಾರಾಟ ಮಾಡುತ್ತದೆ. ವಸ್ತುಗಳು ಪ್ರಮಾಣಿತ ಬೆಲೆಗಳಲ್ಲಿ ಲಭ್ಯವಿದೆ.</v>
      </c>
      <c r="P248" s="10" t="str">
        <f>IFERROR(__xludf.DUMMYFUNCTION("GOOGLETRANSLATE(K248,""en"",""ml"")"),"ഈ ജനറൽ സ്റ്റോർ പലചരക്ക് സാധനങ്ങളും നിത്യോപയോഗ സാധനങ്ങളും വിൽക്കുന്നു. സാധാരണ വിലയ്ക്ക് ഇനങ്ങൾ ലഭ്യമാണ്.")</f>
        <v>ഈ ജനറൽ സ്റ്റോർ പലചരക്ക് സാധനങ്ങളും നിത്യോപയോഗ സാധനങ്ങളും വിൽക്കുന്നു. സാധാരണ വിലയ്ക്ക് ഇനങ്ങൾ ലഭ്യമാണ്.</v>
      </c>
    </row>
    <row r="249">
      <c r="A249" s="6">
        <f t="shared" si="1"/>
        <v>248</v>
      </c>
      <c r="B249" s="6" t="s">
        <v>913</v>
      </c>
      <c r="C249" s="6">
        <v>16.0717926</v>
      </c>
      <c r="D249" s="6">
        <v>78.8750549</v>
      </c>
      <c r="E249" s="5" t="s">
        <v>765</v>
      </c>
      <c r="F249" s="8" t="s">
        <v>914</v>
      </c>
      <c r="G249" s="8" t="s">
        <v>915</v>
      </c>
      <c r="H249" s="8" t="s">
        <v>916</v>
      </c>
      <c r="I249" s="8" t="s">
        <v>917</v>
      </c>
      <c r="J249" s="8" t="s">
        <v>918</v>
      </c>
      <c r="K249" s="12" t="s">
        <v>919</v>
      </c>
      <c r="L249" s="10" t="str">
        <f>IFERROR(__xludf.DUMMYFUNCTION("GOOGLETRANSLATE(K249,""en"",""te"")"),"భువన షాప్ సాధారణ వస్తువులు మరియు చిన్న వస్తువులను అందిస్తుంది. ఇది రోజువారీ షాపింగ్ అవసరాలకు మద్దతు ఇస్తుంది.")</f>
        <v>భువన షాప్ సాధారణ వస్తువులు మరియు చిన్న వస్తువులను అందిస్తుంది. ఇది రోజువారీ షాపింగ్ అవసరాలకు మద్దతు ఇస్తుంది.</v>
      </c>
      <c r="M249" s="10" t="str">
        <f>IFERROR(__xludf.DUMMYFUNCTION("GOOGLETRANSLATE(K249,""en"",""hi"")"),"भुवना शॉप में सामान्य सामान और छोटी-मोटी वस्तुएं मिलती हैं। यह रोजमर्रा की खरीदारी की जरूरतों को पूरा करती है।")</f>
        <v>भुवना शॉप में सामान्य सामान और छोटी-मोटी वस्तुएं मिलती हैं। यह रोजमर्रा की खरीदारी की जरूरतों को पूरा करती है।</v>
      </c>
      <c r="N249" s="10" t="str">
        <f>IFERROR(__xludf.DUMMYFUNCTION("GOOGLETRANSLATE(K249,""en"",""ta"")"),"புவனா கடை பொதுப் பொருட்கள் மற்றும் சிறிய பொருட்களை வழங்குகிறது. இது அன்றாட ஷாப்பிங் தேவைகளை ஆதரிக்கிறது.")</f>
        <v>புவனா கடை பொதுப் பொருட்கள் மற்றும் சிறிய பொருட்களை வழங்குகிறது. இது அன்றாட ஷாப்பிங் தேவைகளை ஆதரிக்கிறது.</v>
      </c>
      <c r="O249" s="10" t="str">
        <f>IFERROR(__xludf.DUMMYFUNCTION("GOOGLETRANSLATE(K249,""en"",""kn"")"),"ಭುವನ ಅಂಗಡಿಯು ಸಾಮಾನ್ಯ ಸರಕುಗಳು ಮತ್ತು ಸಣ್ಣ ಸರಕುಗಳನ್ನು ನೀಡುತ್ತದೆ. ಇದು ದೈನಂದಿನ ಶಾಪಿಂಗ್ ಅಗತ್ಯಗಳನ್ನು ಪೂರೈಸುತ್ತದೆ.")</f>
        <v>ಭುವನ ಅಂಗಡಿಯು ಸಾಮಾನ್ಯ ಸರಕುಗಳು ಮತ್ತು ಸಣ್ಣ ಸರಕುಗಳನ್ನು ನೀಡುತ್ತದೆ. ಇದು ದೈನಂದಿನ ಶಾಪಿಂಗ್ ಅಗತ್ಯಗಳನ್ನು ಪೂರೈಸುತ್ತದೆ.</v>
      </c>
      <c r="P249" s="10" t="str">
        <f>IFERROR(__xludf.DUMMYFUNCTION("GOOGLETRANSLATE(K249,""en"",""ml"")"),"ഭുവന ഷോപ്പ് പൊതു ഉൽപ്പന്നങ്ങളും ചെറുകിട ഉൽപ്പന്നങ്ങളും വാഗ്ദാനം ചെയ്യുന്നു. ഇത് ദൈനംദിന ഷോപ്പിംഗ് ആവശ്യങ്ങൾ നിറവേറ്റുന്നു.")</f>
        <v>ഭുവന ഷോപ്പ് പൊതു ഉൽപ്പന്നങ്ങളും ചെറുകിട ഉൽപ്പന്നങ്ങളും വാഗ്ദാനം ചെയ്യുന്നു. ഇത് ദൈനംദിന ഷോപ്പിംഗ് ആവശ്യങ്ങൾ നിറവേറ്റുന്നു.</v>
      </c>
    </row>
    <row r="250">
      <c r="A250" s="6">
        <f t="shared" si="1"/>
        <v>249</v>
      </c>
      <c r="B250" s="6" t="s">
        <v>920</v>
      </c>
      <c r="C250" s="6">
        <v>16.0728606</v>
      </c>
      <c r="D250" s="6">
        <v>78.8739303</v>
      </c>
      <c r="E250" s="5" t="s">
        <v>765</v>
      </c>
      <c r="F250" s="8" t="s">
        <v>921</v>
      </c>
      <c r="G250" s="10" t="str">
        <f>IFERROR(__xludf.DUMMYFUNCTION("GOOGLETRANSLATE(B250,""en"",""hi"")"),"ईश्वर व्यापारी")</f>
        <v>ईश्वर व्यापारी</v>
      </c>
      <c r="H250" s="10" t="str">
        <f>IFERROR(__xludf.DUMMYFUNCTION("GOOGLETRANSLATE(B250,""en"",""ta"")"),"ஈஷ்வரா டிரேடர்ஸ்")</f>
        <v>ஈஷ்வரா டிரேடர்ஸ்</v>
      </c>
      <c r="I250" s="10" t="str">
        <f>IFERROR(__xludf.DUMMYFUNCTION("GOOGLETRANSLATE(B250,""en"",""kn"")"),"ಈಶ್ವರ ಟ್ರೆಡರ್ಸ್")</f>
        <v>ಈಶ್ವರ ಟ್ರೆಡರ್ಸ್</v>
      </c>
      <c r="J250" s="10" t="str">
        <f>IFERROR(__xludf.DUMMYFUNCTION("GOOGLETRANSLATE(B250,""en"",""ml"")"),"ഏശ്വരാ ട്രെഡര്സ്")</f>
        <v>ഏശ്വരാ ട്രെഡര്സ്</v>
      </c>
      <c r="K250" s="12" t="s">
        <v>922</v>
      </c>
      <c r="L250" s="10" t="str">
        <f>IFERROR(__xludf.DUMMYFUNCTION("GOOGLETRANSLATE(K250,""en"",""te"")"),"ఈశ్వర ట్రేడర్స్ స్థానిక వాణిజ్యం మరియు రిటైల్ కోసం వస్తువులను సరఫరా చేస్తుంది. ఇది వ్యాపారం మరియు గృహ అవసరాలకు మద్దతు ఇస్తుంది.")</f>
        <v>ఈశ్వర ట్రేడర్స్ స్థానిక వాణిజ్యం మరియు రిటైల్ కోసం వస్తువులను సరఫరా చేస్తుంది. ఇది వ్యాపారం మరియు గృహ అవసరాలకు మద్దతు ఇస్తుంది.</v>
      </c>
      <c r="M250" s="10" t="str">
        <f>IFERROR(__xludf.DUMMYFUNCTION("GOOGLETRANSLATE(K250,""en"",""hi"")"),"ईश्वरा ट्रेडर्स स्थानीय व्यापार और खुदरा बिक्री के लिए सामान की आपूर्ति करता है। यह व्यवसायों और घरेलू जरूरतों को पूरा करता है।")</f>
        <v>ईश्वरा ट्रेडर्स स्थानीय व्यापार और खुदरा बिक्री के लिए सामान की आपूर्ति करता है। यह व्यवसायों और घरेलू जरूरतों को पूरा करता है।</v>
      </c>
      <c r="N250" s="10" t="str">
        <f>IFERROR(__xludf.DUMMYFUNCTION("GOOGLETRANSLATE(K250,""en"",""ta"")"),"ஈஸ்வரா டிரேடர்ஸ் உள்ளூர் வர்த்தகம் மற்றும் சில்லறை விற்பனைக்கான பொருட்களை வழங்குகிறது. இது வணிகம் மற்றும் வீட்டுத் தேவைகளை ஆதரிக்கிறது.")</f>
        <v>ஈஸ்வரா டிரேடர்ஸ் உள்ளூர் வர்த்தகம் மற்றும் சில்லறை விற்பனைக்கான பொருட்களை வழங்குகிறது. இது வணிகம் மற்றும் வீட்டுத் தேவைகளை ஆதரிக்கிறது.</v>
      </c>
      <c r="O250" s="10" t="str">
        <f>IFERROR(__xludf.DUMMYFUNCTION("GOOGLETRANSLATE(K250,""en"",""kn"")"),"ಈಶ್ವರ ಟ್ರೇಡರ್ಸ್ ಸ್ಥಳೀಯ ವ್ಯಾಪಾರ ಮತ್ತು ಚಿಲ್ಲರೆ ವ್ಯಾಪಾರಕ್ಕಾಗಿ ಸರಕುಗಳನ್ನು ಪೂರೈಸುತ್ತದೆ. ಇದು ವ್ಯಾಪಾರ ಮತ್ತು ಮನೆಯ ಅಗತ್ಯಗಳನ್ನು ಬೆಂಬಲಿಸುತ್ತದೆ.")</f>
        <v>ಈಶ್ವರ ಟ್ರೇಡರ್ಸ್ ಸ್ಥಳೀಯ ವ್ಯಾಪಾರ ಮತ್ತು ಚಿಲ್ಲರೆ ವ್ಯಾಪಾರಕ್ಕಾಗಿ ಸರಕುಗಳನ್ನು ಪೂರೈಸುತ್ತದೆ. ಇದು ವ್ಯಾಪಾರ ಮತ್ತು ಮನೆಯ ಅಗತ್ಯಗಳನ್ನು ಬೆಂಬಲಿಸುತ್ತದೆ.</v>
      </c>
      <c r="P250" s="10" t="str">
        <f>IFERROR(__xludf.DUMMYFUNCTION("GOOGLETRANSLATE(K250,""en"",""ml"")"),"പ്രാദേശിക വ്യാപാരത്തിനും ചില്ലറ വിൽപ്പനയ്ക്കുമുള്ള സാധനങ്ങൾ ഈശ്വര ട്രേഡേഴ്‌സ് വിതരണം ചെയ്യുന്നു. ബിസിനസ്, ഗാർഹിക ആവശ്യങ്ങൾ നിറവേറ്റുന്നതിന് ഇത് സഹായിക്കുന്നു.")</f>
        <v>പ്രാദേശിക വ്യാപാരത്തിനും ചില്ലറ വിൽപ്പനയ്ക്കുമുള്ള സാധനങ്ങൾ ഈശ്വര ട്രേഡേഴ്‌സ് വിതരണം ചെയ്യുന്നു. ബിസിനസ്, ഗാർഹിക ആവശ്യങ്ങൾ നിറവേറ്റുന്നതിന് ഇത് സഹായിക്കുന്നു.</v>
      </c>
    </row>
    <row r="251">
      <c r="A251" s="6">
        <f t="shared" si="1"/>
        <v>250</v>
      </c>
      <c r="B251" s="6" t="s">
        <v>923</v>
      </c>
      <c r="C251" s="6">
        <v>16.0738336</v>
      </c>
      <c r="D251" s="6">
        <v>78.8733146</v>
      </c>
      <c r="E251" s="5" t="s">
        <v>765</v>
      </c>
      <c r="F251" s="10" t="str">
        <f>IFERROR(__xludf.DUMMYFUNCTION("GOOGLETRANSLATE(B251,""en"",""te"")"),"రామ్సై స్వీట్స్ &amp; బేకరి")</f>
        <v>రామ్సై స్వీట్స్ &amp; బేకరి</v>
      </c>
      <c r="G251" s="8" t="s">
        <v>924</v>
      </c>
      <c r="H251" s="8" t="s">
        <v>925</v>
      </c>
      <c r="I251" s="8" t="s">
        <v>926</v>
      </c>
      <c r="J251" s="8" t="s">
        <v>927</v>
      </c>
      <c r="K251" s="12" t="s">
        <v>928</v>
      </c>
      <c r="L251" s="10" t="str">
        <f>IFERROR(__xludf.DUMMYFUNCTION("GOOGLETRANSLATE(K251,""en"",""te"")"),"రామ్‌సాయి స్వీట్స్ &amp; బేకరీ స్వీట్లు మరియు బేకరీ వస్తువులను విక్రయిస్తుంది. ఉత్పత్తులను ప్రతిరోజూ తాజాగా తయారు చేస్తారు. ఇది స్నాక్స్ మరియు డెజర్ట్‌లకు ప్రసిద్ధి చెందింది.")</f>
        <v>రామ్‌సాయి స్వీట్స్ &amp; బేకరీ స్వీట్లు మరియు బేకరీ వస్తువులను విక్రయిస్తుంది. ఉత్పత్తులను ప్రతిరోజూ తాజాగా తయారు చేస్తారు. ఇది స్నాక్స్ మరియు డెజర్ట్‌లకు ప్రసిద్ధి చెందింది.</v>
      </c>
      <c r="M251" s="10" t="str">
        <f>IFERROR(__xludf.DUMMYFUNCTION("GOOGLETRANSLATE(K251,""en"",""hi"")"),"रामसाई स्वीट्स एंड बेकरी मिठाई और बेकरी आइटम बेचती है। यहां प्रतिदिन ताजे उत्पाद तैयार किए जाते हैं। यह स्नैक्स और मिठाइयों के लिए लोकप्रिय है।")</f>
        <v>रामसाई स्वीट्स एंड बेकरी मिठाई और बेकरी आइटम बेचती है। यहां प्रतिदिन ताजे उत्पाद तैयार किए जाते हैं। यह स्नैक्स और मिठाइयों के लिए लोकप्रिय है।</v>
      </c>
      <c r="N251" s="10" t="str">
        <f>IFERROR(__xludf.DUMMYFUNCTION("GOOGLETRANSLATE(K251,""en"",""ta"")"),"ராம்சாய் ஸ்வீட்ஸ் &amp; பேக்கரி இனிப்புகள் மற்றும் பேக்கரி பொருட்களை விற்பனை செய்கிறது. பொருட்கள் தினமும் புதிதாக தயாரிக்கப்படுகின்றன. இது சிற்றுண்டி மற்றும் இனிப்பு வகைகளுக்கு பிரபலமானது.")</f>
        <v>ராம்சாய் ஸ்வீட்ஸ் &amp; பேக்கரி இனிப்புகள் மற்றும் பேக்கரி பொருட்களை விற்பனை செய்கிறது. பொருட்கள் தினமும் புதிதாக தயாரிக்கப்படுகின்றன. இது சிற்றுண்டி மற்றும் இனிப்பு வகைகளுக்கு பிரபலமானது.</v>
      </c>
      <c r="O251" s="10" t="str">
        <f>IFERROR(__xludf.DUMMYFUNCTION("GOOGLETRANSLATE(K251,""en"",""kn"")"),"ರಾಮ್‌ಸಾಯಿ ಸ್ವೀಟ್ಸ್ &amp; ಬೇಕರಿ ಸಿಹಿತಿಂಡಿಗಳು ಮತ್ತು ಬೇಕರಿ ವಸ್ತುಗಳನ್ನು ಮಾರಾಟ ಮಾಡುತ್ತದೆ. ಉತ್ಪನ್ನಗಳನ್ನು ಪ್ರತಿದಿನ ತಾಜಾವಾಗಿ ತಯಾರಿಸಲಾಗುತ್ತದೆ. ಇದು ತಿಂಡಿಗಳು ಮತ್ತು ಸಿಹಿತಿಂಡಿಗಳಿಗೆ ಜನಪ್ರಿಯವಾಗಿದೆ.")</f>
        <v>ರಾಮ್‌ಸಾಯಿ ಸ್ವೀಟ್ಸ್ &amp; ಬೇಕರಿ ಸಿಹಿತಿಂಡಿಗಳು ಮತ್ತು ಬೇಕರಿ ವಸ್ತುಗಳನ್ನು ಮಾರಾಟ ಮಾಡುತ್ತದೆ. ಉತ್ಪನ್ನಗಳನ್ನು ಪ್ರತಿದಿನ ತಾಜಾವಾಗಿ ತಯಾರಿಸಲಾಗುತ್ತದೆ. ಇದು ತಿಂಡಿಗಳು ಮತ್ತು ಸಿಹಿತಿಂಡಿಗಳಿಗೆ ಜನಪ್ರಿಯವಾಗಿದೆ.</v>
      </c>
      <c r="P251" s="10" t="str">
        <f>IFERROR(__xludf.DUMMYFUNCTION("GOOGLETRANSLATE(K251,""en"",""ml"")"),"രാംസായി സ്വീറ്റ്‌സ് &amp; ബേക്കറി മധുരപലഹാരങ്ങളും ബേക്കറി ഇനങ്ങളും വിൽക്കുന്നു. ഉൽപ്പന്നങ്ങൾ ദിവസവും പുതുതായി തയ്യാറാക്കുന്നു. ലഘുഭക്ഷണങ്ങൾക്കും മധുരപലഹാരങ്ങൾക്കും ഇത് ജനപ്രിയമാണ്.")</f>
        <v>രാംസായി സ്വീറ്റ്‌സ് &amp; ബേക്കറി മധുരപലഹാരങ്ങളും ബേക്കറി ഇനങ്ങളും വിൽക്കുന്നു. ഉൽപ്പന്നങ്ങൾ ദിവസവും പുതുതായി തയ്യാറാക്കുന്നു. ലഘുഭക്ഷണങ്ങൾക്കും മധുരപലഹാരങ്ങൾക്കും ഇത് ജനപ്രിയമാണ്.</v>
      </c>
    </row>
    <row r="252">
      <c r="A252" s="26"/>
      <c r="B252" s="26"/>
      <c r="C252" s="26"/>
      <c r="D252" s="26"/>
      <c r="E252" s="26"/>
      <c r="F252" s="26"/>
      <c r="G252" s="26"/>
      <c r="H252" s="26"/>
      <c r="I252" s="26"/>
      <c r="J252" s="26"/>
      <c r="K252" s="26"/>
      <c r="L252" s="26"/>
      <c r="M252" s="26"/>
      <c r="N252" s="26"/>
      <c r="O252" s="26"/>
      <c r="P252" s="26"/>
    </row>
    <row r="253">
      <c r="A253" s="26"/>
      <c r="B253" s="26"/>
      <c r="C253" s="26"/>
      <c r="D253" s="26"/>
      <c r="E253" s="26"/>
      <c r="F253" s="26"/>
      <c r="G253" s="26"/>
      <c r="H253" s="26"/>
      <c r="I253" s="26"/>
      <c r="J253" s="26"/>
      <c r="K253" s="26"/>
      <c r="L253" s="26"/>
      <c r="M253" s="26"/>
      <c r="N253" s="26"/>
      <c r="O253" s="26"/>
      <c r="P253" s="26"/>
    </row>
    <row r="254">
      <c r="A254" s="26"/>
      <c r="B254" s="26"/>
      <c r="C254" s="26"/>
      <c r="D254" s="26"/>
      <c r="E254" s="26"/>
      <c r="F254" s="26"/>
      <c r="G254" s="26"/>
      <c r="H254" s="26"/>
      <c r="I254" s="26"/>
      <c r="J254" s="26"/>
      <c r="K254" s="27"/>
      <c r="L254" s="26"/>
      <c r="M254" s="26"/>
      <c r="N254" s="26"/>
      <c r="O254" s="26"/>
      <c r="P254" s="26"/>
    </row>
    <row r="255">
      <c r="A255" s="26"/>
      <c r="B255" s="26"/>
      <c r="C255" s="26"/>
      <c r="D255" s="26"/>
      <c r="E255" s="26"/>
      <c r="F255" s="26"/>
      <c r="G255" s="26"/>
      <c r="H255" s="26"/>
      <c r="I255" s="26"/>
      <c r="J255" s="26"/>
      <c r="K255" s="26"/>
      <c r="L255" s="26"/>
      <c r="M255" s="26"/>
      <c r="N255" s="26"/>
      <c r="O255" s="26"/>
      <c r="P255" s="26"/>
    </row>
    <row r="256">
      <c r="A256" s="26"/>
      <c r="B256" s="26"/>
      <c r="C256" s="26"/>
      <c r="D256" s="26"/>
      <c r="E256" s="26"/>
      <c r="F256" s="26"/>
      <c r="G256" s="26"/>
      <c r="H256" s="26"/>
      <c r="I256" s="26"/>
      <c r="J256" s="26"/>
      <c r="K256" s="26"/>
      <c r="L256" s="26"/>
      <c r="M256" s="26"/>
      <c r="N256" s="26"/>
      <c r="O256" s="26"/>
      <c r="P256" s="26"/>
    </row>
    <row r="257">
      <c r="A257" s="26"/>
      <c r="B257" s="26"/>
      <c r="C257" s="26"/>
      <c r="D257" s="26"/>
      <c r="E257" s="26"/>
      <c r="F257" s="26"/>
      <c r="G257" s="26"/>
      <c r="H257" s="26"/>
      <c r="I257" s="26"/>
      <c r="J257" s="26"/>
      <c r="K257" s="27"/>
      <c r="L257" s="26"/>
      <c r="M257" s="26"/>
      <c r="N257" s="26"/>
      <c r="O257" s="26"/>
      <c r="P257" s="26"/>
    </row>
    <row r="258">
      <c r="A258" s="26"/>
      <c r="B258" s="26"/>
      <c r="C258" s="26"/>
      <c r="D258" s="26"/>
      <c r="E258" s="26"/>
      <c r="F258" s="26"/>
      <c r="G258" s="26"/>
      <c r="H258" s="26"/>
      <c r="I258" s="26"/>
      <c r="J258" s="26"/>
      <c r="K258" s="26"/>
      <c r="L258" s="26"/>
      <c r="M258" s="26"/>
      <c r="N258" s="26"/>
      <c r="O258" s="26"/>
      <c r="P258" s="26"/>
    </row>
    <row r="259">
      <c r="A259" s="26"/>
      <c r="B259" s="26"/>
      <c r="C259" s="26"/>
      <c r="D259" s="26"/>
      <c r="E259" s="26"/>
      <c r="F259" s="26"/>
      <c r="G259" s="26"/>
      <c r="H259" s="26"/>
      <c r="I259" s="26"/>
      <c r="J259" s="26"/>
      <c r="K259" s="27"/>
      <c r="L259" s="26"/>
      <c r="M259" s="26"/>
      <c r="N259" s="26"/>
      <c r="O259" s="26"/>
      <c r="P259" s="26"/>
    </row>
    <row r="260">
      <c r="A260" s="26"/>
      <c r="B260" s="26"/>
      <c r="C260" s="26"/>
      <c r="D260" s="26"/>
      <c r="E260" s="26"/>
      <c r="F260" s="26"/>
      <c r="G260" s="26"/>
      <c r="H260" s="26"/>
      <c r="I260" s="26"/>
      <c r="J260" s="26"/>
      <c r="K260" s="27"/>
      <c r="L260" s="26"/>
      <c r="M260" s="26"/>
      <c r="N260" s="26"/>
      <c r="O260" s="26"/>
      <c r="P260" s="26"/>
    </row>
    <row r="261">
      <c r="A261" s="26"/>
      <c r="B261" s="26"/>
      <c r="C261" s="26"/>
      <c r="D261" s="26"/>
      <c r="E261" s="26"/>
      <c r="F261" s="26"/>
      <c r="G261" s="26"/>
      <c r="H261" s="26"/>
      <c r="I261" s="26"/>
      <c r="J261" s="26"/>
      <c r="K261" s="27"/>
      <c r="L261" s="26"/>
      <c r="M261" s="26"/>
      <c r="N261" s="26"/>
      <c r="O261" s="26"/>
      <c r="P261" s="26"/>
    </row>
    <row r="262">
      <c r="A262" s="26"/>
      <c r="B262" s="26"/>
      <c r="C262" s="26"/>
      <c r="D262" s="26"/>
      <c r="E262" s="26"/>
      <c r="F262" s="26"/>
      <c r="G262" s="26"/>
      <c r="H262" s="26"/>
      <c r="I262" s="26"/>
      <c r="J262" s="26"/>
      <c r="K262" s="27"/>
      <c r="L262" s="26"/>
      <c r="M262" s="26"/>
      <c r="N262" s="26"/>
      <c r="O262" s="26"/>
      <c r="P262" s="26"/>
    </row>
    <row r="263">
      <c r="A263" s="26"/>
      <c r="B263" s="26"/>
      <c r="C263" s="26"/>
      <c r="D263" s="26"/>
      <c r="E263" s="26"/>
      <c r="F263" s="26"/>
      <c r="G263" s="26"/>
      <c r="H263" s="26"/>
      <c r="I263" s="26"/>
      <c r="J263" s="26"/>
      <c r="K263" s="27"/>
      <c r="L263" s="26"/>
      <c r="M263" s="26"/>
      <c r="N263" s="26"/>
      <c r="O263" s="26"/>
      <c r="P263" s="26"/>
    </row>
    <row r="264">
      <c r="A264" s="26"/>
      <c r="B264" s="26"/>
      <c r="C264" s="26"/>
      <c r="D264" s="26"/>
      <c r="E264" s="26"/>
      <c r="F264" s="26"/>
      <c r="G264" s="26"/>
      <c r="H264" s="26"/>
      <c r="I264" s="26"/>
      <c r="J264" s="26"/>
      <c r="K264" s="27"/>
      <c r="L264" s="26"/>
      <c r="M264" s="26"/>
      <c r="N264" s="26"/>
      <c r="O264" s="26"/>
      <c r="P264" s="26"/>
    </row>
    <row r="265">
      <c r="A265" s="26"/>
      <c r="B265" s="26"/>
      <c r="C265" s="26"/>
      <c r="D265" s="26"/>
      <c r="E265" s="26"/>
      <c r="F265" s="26"/>
      <c r="G265" s="26"/>
      <c r="H265" s="26"/>
      <c r="I265" s="26"/>
      <c r="J265" s="26"/>
      <c r="K265" s="27"/>
      <c r="L265" s="26"/>
      <c r="M265" s="26"/>
      <c r="N265" s="26"/>
      <c r="O265" s="26"/>
      <c r="P265" s="26"/>
    </row>
    <row r="266">
      <c r="A266" s="26"/>
      <c r="B266" s="26"/>
      <c r="C266" s="26"/>
      <c r="D266" s="26"/>
      <c r="E266" s="26"/>
      <c r="F266" s="26"/>
      <c r="G266" s="26"/>
      <c r="H266" s="26"/>
      <c r="I266" s="26"/>
      <c r="J266" s="26"/>
      <c r="K266" s="27"/>
      <c r="L266" s="26"/>
      <c r="M266" s="26"/>
      <c r="N266" s="26"/>
      <c r="O266" s="26"/>
      <c r="P266" s="26"/>
    </row>
    <row r="267">
      <c r="A267" s="26"/>
      <c r="B267" s="26"/>
      <c r="C267" s="26"/>
      <c r="D267" s="26"/>
      <c r="E267" s="26"/>
      <c r="F267" s="26"/>
      <c r="G267" s="26"/>
      <c r="H267" s="26"/>
      <c r="I267" s="26"/>
      <c r="J267" s="26"/>
      <c r="K267" s="26"/>
      <c r="L267" s="26"/>
      <c r="M267" s="26"/>
      <c r="N267" s="26"/>
      <c r="O267" s="26"/>
      <c r="P267" s="26"/>
    </row>
    <row r="268">
      <c r="A268" s="26"/>
      <c r="B268" s="26"/>
      <c r="C268" s="26"/>
      <c r="D268" s="26"/>
      <c r="E268" s="26"/>
      <c r="F268" s="26"/>
      <c r="G268" s="26"/>
      <c r="H268" s="26"/>
      <c r="I268" s="26"/>
      <c r="J268" s="26"/>
      <c r="K268" s="26"/>
      <c r="L268" s="26"/>
      <c r="M268" s="26"/>
      <c r="N268" s="26"/>
      <c r="O268" s="26"/>
      <c r="P268" s="26"/>
    </row>
    <row r="269">
      <c r="A269" s="26"/>
      <c r="B269" s="26"/>
      <c r="C269" s="26"/>
      <c r="D269" s="26"/>
      <c r="E269" s="26"/>
      <c r="F269" s="26"/>
      <c r="G269" s="26"/>
      <c r="H269" s="26"/>
      <c r="I269" s="26"/>
      <c r="J269" s="26"/>
      <c r="K269" s="26"/>
      <c r="L269" s="26"/>
      <c r="M269" s="26"/>
      <c r="N269" s="26"/>
      <c r="O269" s="26"/>
      <c r="P269" s="26"/>
    </row>
    <row r="270">
      <c r="A270" s="26"/>
      <c r="B270" s="26"/>
      <c r="C270" s="26"/>
      <c r="D270" s="26"/>
      <c r="E270" s="26"/>
      <c r="F270" s="26"/>
      <c r="G270" s="26"/>
      <c r="H270" s="26"/>
      <c r="I270" s="26"/>
      <c r="J270" s="26"/>
      <c r="K270" s="26"/>
      <c r="L270" s="26"/>
      <c r="M270" s="26"/>
      <c r="N270" s="26"/>
      <c r="O270" s="26"/>
      <c r="P270" s="26"/>
    </row>
    <row r="271">
      <c r="A271" s="26"/>
      <c r="B271" s="26"/>
      <c r="C271" s="26"/>
      <c r="D271" s="26"/>
      <c r="E271" s="26"/>
      <c r="F271" s="26"/>
      <c r="G271" s="26"/>
      <c r="H271" s="26"/>
      <c r="I271" s="26"/>
      <c r="J271" s="26"/>
      <c r="K271" s="26"/>
      <c r="L271" s="26"/>
      <c r="M271" s="26"/>
      <c r="N271" s="26"/>
      <c r="O271" s="26"/>
      <c r="P271" s="26"/>
    </row>
    <row r="272">
      <c r="A272" s="26"/>
      <c r="B272" s="26"/>
      <c r="C272" s="26"/>
      <c r="D272" s="26"/>
      <c r="E272" s="26"/>
      <c r="F272" s="26"/>
      <c r="G272" s="26"/>
      <c r="H272" s="26"/>
      <c r="I272" s="26"/>
      <c r="J272" s="26"/>
      <c r="K272" s="26"/>
      <c r="L272" s="26"/>
      <c r="M272" s="26"/>
      <c r="N272" s="26"/>
      <c r="O272" s="26"/>
      <c r="P272" s="26"/>
    </row>
    <row r="273">
      <c r="A273" s="26"/>
      <c r="B273" s="26"/>
      <c r="C273" s="26"/>
      <c r="D273" s="26"/>
      <c r="E273" s="26"/>
      <c r="F273" s="26"/>
      <c r="G273" s="26"/>
      <c r="H273" s="26"/>
      <c r="I273" s="26"/>
      <c r="J273" s="26"/>
      <c r="K273" s="26"/>
      <c r="L273" s="26"/>
      <c r="M273" s="26"/>
      <c r="N273" s="26"/>
      <c r="O273" s="26"/>
      <c r="P273" s="26"/>
    </row>
    <row r="274">
      <c r="A274" s="26"/>
      <c r="B274" s="26"/>
      <c r="C274" s="26"/>
      <c r="D274" s="26"/>
      <c r="E274" s="26"/>
      <c r="F274" s="26"/>
      <c r="G274" s="26"/>
      <c r="H274" s="26"/>
      <c r="I274" s="26"/>
      <c r="J274" s="26"/>
      <c r="K274" s="26"/>
      <c r="L274" s="26"/>
      <c r="M274" s="26"/>
      <c r="N274" s="26"/>
      <c r="O274" s="26"/>
      <c r="P274" s="26"/>
    </row>
    <row r="275">
      <c r="A275" s="26"/>
      <c r="B275" s="26"/>
      <c r="C275" s="26"/>
      <c r="D275" s="26"/>
      <c r="E275" s="26"/>
      <c r="F275" s="26"/>
      <c r="G275" s="26"/>
      <c r="H275" s="26"/>
      <c r="I275" s="26"/>
      <c r="J275" s="26"/>
      <c r="K275" s="27"/>
      <c r="L275" s="26"/>
      <c r="M275" s="26"/>
      <c r="N275" s="26"/>
      <c r="O275" s="26"/>
      <c r="P275" s="26"/>
    </row>
    <row r="276">
      <c r="A276" s="26"/>
      <c r="B276" s="26"/>
      <c r="C276" s="26"/>
      <c r="D276" s="26"/>
      <c r="E276" s="26"/>
      <c r="F276" s="26"/>
      <c r="G276" s="26"/>
      <c r="H276" s="26"/>
      <c r="I276" s="26"/>
      <c r="J276" s="26"/>
      <c r="K276" s="27"/>
      <c r="L276" s="26"/>
      <c r="M276" s="26"/>
      <c r="N276" s="26"/>
      <c r="O276" s="26"/>
      <c r="P276" s="26"/>
    </row>
    <row r="277">
      <c r="A277" s="26"/>
      <c r="B277" s="26"/>
      <c r="C277" s="26"/>
      <c r="D277" s="26"/>
      <c r="E277" s="26"/>
      <c r="F277" s="26"/>
      <c r="G277" s="26"/>
      <c r="H277" s="26"/>
      <c r="I277" s="26"/>
      <c r="J277" s="26"/>
      <c r="K277" s="27"/>
      <c r="L277" s="26"/>
      <c r="M277" s="26"/>
      <c r="N277" s="26"/>
      <c r="O277" s="26"/>
      <c r="P277" s="26"/>
    </row>
    <row r="278">
      <c r="A278" s="26"/>
      <c r="B278" s="26"/>
      <c r="C278" s="26"/>
      <c r="D278" s="26"/>
      <c r="E278" s="26"/>
      <c r="F278" s="26"/>
      <c r="G278" s="26"/>
      <c r="H278" s="26"/>
      <c r="I278" s="26"/>
      <c r="J278" s="26"/>
      <c r="K278" s="27"/>
      <c r="L278" s="26"/>
      <c r="M278" s="26"/>
      <c r="N278" s="26"/>
      <c r="O278" s="26"/>
      <c r="P278" s="26"/>
    </row>
    <row r="279">
      <c r="A279" s="26"/>
      <c r="B279" s="26"/>
      <c r="C279" s="26"/>
      <c r="D279" s="26"/>
      <c r="E279" s="26"/>
      <c r="F279" s="26"/>
      <c r="G279" s="26"/>
      <c r="H279" s="26"/>
      <c r="I279" s="26"/>
      <c r="J279" s="26"/>
      <c r="K279" s="27"/>
      <c r="L279" s="26"/>
      <c r="M279" s="26"/>
      <c r="N279" s="26"/>
      <c r="O279" s="26"/>
      <c r="P279" s="26"/>
    </row>
    <row r="280">
      <c r="A280" s="26"/>
      <c r="B280" s="26"/>
      <c r="C280" s="26"/>
      <c r="D280" s="26"/>
      <c r="E280" s="26"/>
      <c r="F280" s="26"/>
      <c r="G280" s="26"/>
      <c r="H280" s="26"/>
      <c r="I280" s="26"/>
      <c r="J280" s="26"/>
      <c r="K280" s="27"/>
      <c r="L280" s="26"/>
      <c r="M280" s="26"/>
      <c r="N280" s="26"/>
      <c r="O280" s="26"/>
      <c r="P280" s="26"/>
    </row>
    <row r="281">
      <c r="A281" s="26"/>
      <c r="B281" s="26"/>
      <c r="C281" s="26"/>
      <c r="D281" s="26"/>
      <c r="E281" s="26"/>
      <c r="F281" s="26"/>
      <c r="G281" s="26"/>
      <c r="H281" s="26"/>
      <c r="I281" s="26"/>
      <c r="J281" s="26"/>
      <c r="K281" s="27"/>
      <c r="L281" s="26"/>
      <c r="M281" s="26"/>
      <c r="N281" s="26"/>
      <c r="O281" s="26"/>
      <c r="P281" s="26"/>
    </row>
    <row r="282">
      <c r="A282" s="26"/>
      <c r="B282" s="26"/>
      <c r="C282" s="26"/>
      <c r="D282" s="26"/>
      <c r="E282" s="26"/>
      <c r="F282" s="26"/>
      <c r="G282" s="26"/>
      <c r="H282" s="26"/>
      <c r="I282" s="26"/>
      <c r="J282" s="26"/>
      <c r="K282" s="27"/>
      <c r="L282" s="26"/>
      <c r="M282" s="26"/>
      <c r="N282" s="26"/>
      <c r="O282" s="26"/>
      <c r="P282" s="26"/>
    </row>
    <row r="283">
      <c r="A283" s="26"/>
      <c r="B283" s="26"/>
      <c r="C283" s="26"/>
      <c r="D283" s="26"/>
      <c r="E283" s="26"/>
      <c r="F283" s="26"/>
      <c r="G283" s="26"/>
      <c r="H283" s="26"/>
      <c r="I283" s="26"/>
      <c r="J283" s="26"/>
      <c r="K283" s="27"/>
      <c r="L283" s="26"/>
      <c r="M283" s="26"/>
      <c r="N283" s="26"/>
      <c r="O283" s="26"/>
      <c r="P283" s="26"/>
    </row>
    <row r="284">
      <c r="A284" s="26"/>
      <c r="B284" s="26"/>
      <c r="C284" s="26"/>
      <c r="D284" s="26"/>
      <c r="E284" s="26"/>
      <c r="F284" s="26"/>
      <c r="G284" s="26"/>
      <c r="H284" s="26"/>
      <c r="I284" s="26"/>
      <c r="J284" s="26"/>
      <c r="K284" s="27"/>
      <c r="L284" s="26"/>
      <c r="M284" s="26"/>
      <c r="N284" s="26"/>
      <c r="O284" s="26"/>
      <c r="P284" s="26"/>
    </row>
    <row r="285">
      <c r="A285" s="26"/>
      <c r="B285" s="26"/>
      <c r="C285" s="26"/>
      <c r="D285" s="26"/>
      <c r="E285" s="26"/>
      <c r="F285" s="26"/>
      <c r="G285" s="26"/>
      <c r="H285" s="26"/>
      <c r="I285" s="26"/>
      <c r="J285" s="26"/>
      <c r="K285" s="27"/>
      <c r="L285" s="26"/>
      <c r="M285" s="26"/>
      <c r="N285" s="26"/>
      <c r="O285" s="26"/>
      <c r="P285" s="26"/>
    </row>
    <row r="286">
      <c r="A286" s="26"/>
      <c r="B286" s="26"/>
      <c r="C286" s="26"/>
      <c r="D286" s="26"/>
      <c r="E286" s="26"/>
      <c r="F286" s="26"/>
      <c r="G286" s="26"/>
      <c r="H286" s="26"/>
      <c r="I286" s="26"/>
      <c r="J286" s="26"/>
      <c r="K286" s="27"/>
      <c r="L286" s="26"/>
      <c r="M286" s="26"/>
      <c r="N286" s="26"/>
      <c r="O286" s="26"/>
      <c r="P286" s="26"/>
    </row>
    <row r="287">
      <c r="A287" s="26"/>
      <c r="B287" s="26"/>
      <c r="C287" s="26"/>
      <c r="D287" s="26"/>
      <c r="E287" s="26"/>
      <c r="F287" s="26"/>
      <c r="G287" s="26"/>
      <c r="H287" s="26"/>
      <c r="I287" s="26"/>
      <c r="J287" s="26"/>
      <c r="K287" s="27"/>
      <c r="L287" s="26"/>
      <c r="M287" s="26"/>
      <c r="N287" s="26"/>
      <c r="O287" s="26"/>
      <c r="P287" s="26"/>
    </row>
    <row r="288">
      <c r="A288" s="26"/>
      <c r="B288" s="26"/>
      <c r="C288" s="26"/>
      <c r="D288" s="26"/>
      <c r="E288" s="26"/>
      <c r="F288" s="26"/>
      <c r="G288" s="26"/>
      <c r="H288" s="26"/>
      <c r="I288" s="26"/>
      <c r="J288" s="26"/>
      <c r="K288" s="27"/>
      <c r="L288" s="26"/>
      <c r="M288" s="26"/>
      <c r="N288" s="26"/>
      <c r="O288" s="26"/>
      <c r="P288" s="26"/>
    </row>
    <row r="289">
      <c r="A289" s="26"/>
      <c r="B289" s="26"/>
      <c r="C289" s="26"/>
      <c r="D289" s="26"/>
      <c r="E289" s="26"/>
      <c r="F289" s="26"/>
      <c r="G289" s="26"/>
      <c r="H289" s="26"/>
      <c r="I289" s="26"/>
      <c r="J289" s="26"/>
      <c r="K289" s="27"/>
      <c r="L289" s="26"/>
      <c r="M289" s="26"/>
      <c r="N289" s="26"/>
      <c r="O289" s="26"/>
      <c r="P289" s="26"/>
    </row>
    <row r="290">
      <c r="A290" s="26"/>
      <c r="B290" s="26"/>
      <c r="C290" s="26"/>
      <c r="D290" s="26"/>
      <c r="E290" s="26"/>
      <c r="F290" s="26"/>
      <c r="G290" s="26"/>
      <c r="H290" s="26"/>
      <c r="I290" s="26"/>
      <c r="J290" s="26"/>
      <c r="K290" s="27"/>
      <c r="L290" s="26"/>
      <c r="M290" s="26"/>
      <c r="N290" s="26"/>
      <c r="O290" s="26"/>
      <c r="P290" s="26"/>
    </row>
    <row r="291">
      <c r="A291" s="26"/>
      <c r="B291" s="26"/>
      <c r="C291" s="26"/>
      <c r="D291" s="26"/>
      <c r="E291" s="26"/>
      <c r="F291" s="26"/>
      <c r="G291" s="26"/>
      <c r="H291" s="26"/>
      <c r="I291" s="26"/>
      <c r="J291" s="26"/>
      <c r="K291" s="27"/>
      <c r="L291" s="26"/>
      <c r="M291" s="26"/>
      <c r="N291" s="26"/>
      <c r="O291" s="26"/>
      <c r="P291" s="26"/>
    </row>
    <row r="292">
      <c r="A292" s="26"/>
      <c r="B292" s="26"/>
      <c r="C292" s="26"/>
      <c r="D292" s="26"/>
      <c r="E292" s="26"/>
      <c r="F292" s="26"/>
      <c r="G292" s="26"/>
      <c r="H292" s="26"/>
      <c r="I292" s="26"/>
      <c r="J292" s="26"/>
      <c r="K292" s="27"/>
      <c r="L292" s="26"/>
      <c r="M292" s="26"/>
      <c r="N292" s="26"/>
      <c r="O292" s="26"/>
      <c r="P292" s="26"/>
    </row>
    <row r="293">
      <c r="A293" s="26"/>
      <c r="B293" s="26"/>
      <c r="C293" s="26"/>
      <c r="D293" s="26"/>
      <c r="E293" s="26"/>
      <c r="F293" s="26"/>
      <c r="G293" s="26"/>
      <c r="H293" s="26"/>
      <c r="I293" s="26"/>
      <c r="J293" s="26"/>
      <c r="K293" s="27"/>
      <c r="L293" s="26"/>
      <c r="M293" s="26"/>
      <c r="N293" s="26"/>
      <c r="O293" s="26"/>
      <c r="P293" s="26"/>
    </row>
    <row r="294">
      <c r="A294" s="26"/>
      <c r="B294" s="26"/>
      <c r="C294" s="26"/>
      <c r="D294" s="26"/>
      <c r="E294" s="26"/>
      <c r="F294" s="26"/>
      <c r="G294" s="26"/>
      <c r="H294" s="26"/>
      <c r="I294" s="26"/>
      <c r="J294" s="26"/>
      <c r="K294" s="27"/>
      <c r="L294" s="26"/>
      <c r="M294" s="26"/>
      <c r="N294" s="26"/>
      <c r="O294" s="26"/>
      <c r="P294" s="26"/>
    </row>
    <row r="295">
      <c r="A295" s="26"/>
      <c r="B295" s="26"/>
      <c r="C295" s="26"/>
      <c r="D295" s="26"/>
      <c r="E295" s="26"/>
      <c r="F295" s="26"/>
      <c r="G295" s="26"/>
      <c r="H295" s="26"/>
      <c r="I295" s="26"/>
      <c r="J295" s="26"/>
      <c r="K295" s="27"/>
      <c r="L295" s="26"/>
      <c r="M295" s="26"/>
      <c r="N295" s="26"/>
      <c r="O295" s="26"/>
      <c r="P295" s="26"/>
    </row>
    <row r="296">
      <c r="A296" s="26"/>
      <c r="B296" s="26"/>
      <c r="C296" s="26"/>
      <c r="D296" s="26"/>
      <c r="E296" s="26"/>
      <c r="F296" s="26"/>
      <c r="G296" s="26"/>
      <c r="H296" s="26"/>
      <c r="I296" s="26"/>
      <c r="J296" s="26"/>
      <c r="K296" s="27"/>
      <c r="L296" s="26"/>
      <c r="M296" s="26"/>
      <c r="N296" s="26"/>
      <c r="O296" s="26"/>
      <c r="P296" s="26"/>
    </row>
    <row r="297">
      <c r="A297" s="26"/>
      <c r="B297" s="26"/>
      <c r="C297" s="26"/>
      <c r="D297" s="26"/>
      <c r="E297" s="26"/>
      <c r="F297" s="26"/>
      <c r="G297" s="26"/>
      <c r="H297" s="26"/>
      <c r="I297" s="26"/>
      <c r="J297" s="26"/>
      <c r="K297" s="27"/>
      <c r="L297" s="26"/>
      <c r="M297" s="26"/>
      <c r="N297" s="26"/>
      <c r="O297" s="26"/>
      <c r="P297" s="26"/>
    </row>
    <row r="298">
      <c r="A298" s="26"/>
      <c r="B298" s="26"/>
      <c r="C298" s="26"/>
      <c r="D298" s="26"/>
      <c r="E298" s="26"/>
      <c r="F298" s="26"/>
      <c r="G298" s="26"/>
      <c r="H298" s="26"/>
      <c r="I298" s="26"/>
      <c r="J298" s="26"/>
      <c r="K298" s="27"/>
      <c r="L298" s="26"/>
      <c r="M298" s="26"/>
      <c r="N298" s="26"/>
      <c r="O298" s="26"/>
      <c r="P298" s="26"/>
    </row>
    <row r="299">
      <c r="A299" s="26"/>
      <c r="B299" s="26"/>
      <c r="C299" s="26"/>
      <c r="D299" s="26"/>
      <c r="E299" s="26"/>
      <c r="F299" s="26"/>
      <c r="G299" s="26"/>
      <c r="H299" s="26"/>
      <c r="I299" s="26"/>
      <c r="J299" s="26"/>
      <c r="K299" s="27"/>
      <c r="L299" s="26"/>
      <c r="M299" s="26"/>
      <c r="N299" s="26"/>
      <c r="O299" s="26"/>
      <c r="P299" s="26"/>
    </row>
    <row r="300">
      <c r="A300" s="26"/>
      <c r="B300" s="26"/>
      <c r="C300" s="26"/>
      <c r="D300" s="26"/>
      <c r="E300" s="26"/>
      <c r="F300" s="26"/>
      <c r="G300" s="26"/>
      <c r="H300" s="26"/>
      <c r="I300" s="26"/>
      <c r="J300" s="26"/>
      <c r="K300" s="27"/>
      <c r="L300" s="26"/>
      <c r="M300" s="26"/>
      <c r="N300" s="26"/>
      <c r="O300" s="26"/>
      <c r="P300" s="26"/>
    </row>
    <row r="301">
      <c r="A301" s="26"/>
      <c r="B301" s="26"/>
      <c r="C301" s="26"/>
      <c r="D301" s="26"/>
      <c r="E301" s="26"/>
      <c r="F301" s="26"/>
      <c r="G301" s="26"/>
      <c r="H301" s="26"/>
      <c r="I301" s="26"/>
      <c r="J301" s="26"/>
      <c r="K301" s="27"/>
      <c r="L301" s="26"/>
      <c r="M301" s="26"/>
      <c r="N301" s="26"/>
      <c r="O301" s="26"/>
      <c r="P301" s="26"/>
    </row>
    <row r="302">
      <c r="A302" s="26"/>
      <c r="B302" s="26"/>
      <c r="C302" s="26"/>
      <c r="D302" s="26"/>
      <c r="E302" s="26"/>
      <c r="F302" s="26"/>
      <c r="G302" s="26"/>
      <c r="H302" s="26"/>
      <c r="I302" s="26"/>
      <c r="J302" s="26"/>
      <c r="K302" s="27"/>
      <c r="L302" s="26"/>
      <c r="M302" s="26"/>
      <c r="N302" s="26"/>
      <c r="O302" s="26"/>
      <c r="P302" s="26"/>
    </row>
    <row r="303">
      <c r="A303" s="26"/>
      <c r="B303" s="26"/>
      <c r="C303" s="26"/>
      <c r="D303" s="26"/>
      <c r="E303" s="26"/>
      <c r="F303" s="26"/>
      <c r="G303" s="26"/>
      <c r="H303" s="26"/>
      <c r="I303" s="26"/>
      <c r="J303" s="26"/>
      <c r="K303" s="27"/>
      <c r="L303" s="26"/>
      <c r="M303" s="26"/>
      <c r="N303" s="26"/>
      <c r="O303" s="26"/>
      <c r="P303" s="26"/>
    </row>
    <row r="304">
      <c r="A304" s="26"/>
      <c r="B304" s="26"/>
      <c r="C304" s="26"/>
      <c r="D304" s="26"/>
      <c r="E304" s="26"/>
      <c r="F304" s="26"/>
      <c r="G304" s="26"/>
      <c r="H304" s="26"/>
      <c r="I304" s="26"/>
      <c r="J304" s="26"/>
      <c r="K304" s="27"/>
      <c r="L304" s="26"/>
      <c r="M304" s="26"/>
      <c r="N304" s="26"/>
      <c r="O304" s="26"/>
      <c r="P304" s="26"/>
    </row>
    <row r="305">
      <c r="A305" s="26"/>
      <c r="B305" s="26"/>
      <c r="C305" s="26"/>
      <c r="D305" s="26"/>
      <c r="E305" s="26"/>
      <c r="F305" s="26"/>
      <c r="G305" s="26"/>
      <c r="H305" s="26"/>
      <c r="I305" s="26"/>
      <c r="J305" s="26"/>
      <c r="K305" s="27"/>
      <c r="L305" s="26"/>
      <c r="M305" s="26"/>
      <c r="N305" s="26"/>
      <c r="O305" s="26"/>
      <c r="P305" s="26"/>
    </row>
    <row r="306">
      <c r="A306" s="26"/>
      <c r="B306" s="26"/>
      <c r="C306" s="26"/>
      <c r="D306" s="26"/>
      <c r="E306" s="26"/>
      <c r="F306" s="26"/>
      <c r="G306" s="26"/>
      <c r="H306" s="26"/>
      <c r="I306" s="26"/>
      <c r="J306" s="26"/>
      <c r="K306" s="27"/>
      <c r="L306" s="26"/>
      <c r="M306" s="26"/>
      <c r="N306" s="26"/>
      <c r="O306" s="26"/>
      <c r="P306" s="26"/>
    </row>
    <row r="307">
      <c r="A307" s="26"/>
      <c r="B307" s="26"/>
      <c r="C307" s="26"/>
      <c r="D307" s="26"/>
      <c r="E307" s="26"/>
      <c r="F307" s="26"/>
      <c r="G307" s="26"/>
      <c r="H307" s="26"/>
      <c r="I307" s="26"/>
      <c r="J307" s="26"/>
      <c r="K307" s="27"/>
      <c r="L307" s="26"/>
      <c r="M307" s="26"/>
      <c r="N307" s="26"/>
      <c r="O307" s="26"/>
      <c r="P307" s="26"/>
    </row>
    <row r="308">
      <c r="A308" s="26"/>
      <c r="B308" s="26"/>
      <c r="C308" s="26"/>
      <c r="D308" s="26"/>
      <c r="E308" s="26"/>
      <c r="F308" s="26"/>
      <c r="G308" s="26"/>
      <c r="H308" s="26"/>
      <c r="I308" s="26"/>
      <c r="J308" s="26"/>
      <c r="K308" s="27"/>
      <c r="L308" s="26"/>
      <c r="M308" s="26"/>
      <c r="N308" s="26"/>
      <c r="O308" s="26"/>
      <c r="P308" s="26"/>
    </row>
    <row r="309">
      <c r="A309" s="26"/>
      <c r="B309" s="26"/>
      <c r="C309" s="26"/>
      <c r="D309" s="26"/>
      <c r="E309" s="26"/>
      <c r="F309" s="26"/>
      <c r="G309" s="26"/>
      <c r="H309" s="26"/>
      <c r="I309" s="26"/>
      <c r="J309" s="26"/>
      <c r="K309" s="27"/>
      <c r="L309" s="26"/>
      <c r="M309" s="26"/>
      <c r="N309" s="26"/>
      <c r="O309" s="26"/>
      <c r="P309" s="26"/>
    </row>
    <row r="310">
      <c r="A310" s="26"/>
      <c r="B310" s="26"/>
      <c r="C310" s="26"/>
      <c r="D310" s="26"/>
      <c r="E310" s="26"/>
      <c r="F310" s="26"/>
      <c r="G310" s="26"/>
      <c r="H310" s="26"/>
      <c r="I310" s="26"/>
      <c r="J310" s="26"/>
      <c r="K310" s="27"/>
      <c r="L310" s="26"/>
      <c r="M310" s="26"/>
      <c r="N310" s="26"/>
      <c r="O310" s="26"/>
      <c r="P310" s="26"/>
    </row>
    <row r="311">
      <c r="A311" s="26"/>
      <c r="B311" s="26"/>
      <c r="C311" s="26"/>
      <c r="D311" s="26"/>
      <c r="E311" s="26"/>
      <c r="F311" s="26"/>
      <c r="G311" s="26"/>
      <c r="H311" s="26"/>
      <c r="I311" s="26"/>
      <c r="J311" s="26"/>
      <c r="K311" s="27"/>
      <c r="L311" s="26"/>
      <c r="M311" s="26"/>
      <c r="N311" s="26"/>
      <c r="O311" s="26"/>
      <c r="P311" s="26"/>
    </row>
    <row r="312">
      <c r="A312" s="26"/>
      <c r="B312" s="26"/>
      <c r="C312" s="26"/>
      <c r="D312" s="26"/>
      <c r="E312" s="26"/>
      <c r="F312" s="26"/>
      <c r="G312" s="26"/>
      <c r="H312" s="26"/>
      <c r="I312" s="26"/>
      <c r="J312" s="26"/>
      <c r="K312" s="27"/>
      <c r="L312" s="26"/>
      <c r="M312" s="26"/>
      <c r="N312" s="26"/>
      <c r="O312" s="26"/>
      <c r="P312" s="26"/>
    </row>
    <row r="313">
      <c r="A313" s="26"/>
      <c r="B313" s="26"/>
      <c r="C313" s="26"/>
      <c r="D313" s="26"/>
      <c r="E313" s="26"/>
      <c r="F313" s="26"/>
      <c r="G313" s="26"/>
      <c r="H313" s="26"/>
      <c r="I313" s="26"/>
      <c r="J313" s="26"/>
      <c r="K313" s="27"/>
      <c r="L313" s="26"/>
      <c r="M313" s="26"/>
      <c r="N313" s="26"/>
      <c r="O313" s="26"/>
      <c r="P313" s="26"/>
    </row>
    <row r="314">
      <c r="A314" s="26"/>
      <c r="B314" s="26"/>
      <c r="C314" s="26"/>
      <c r="D314" s="26"/>
      <c r="E314" s="26"/>
      <c r="F314" s="26"/>
      <c r="G314" s="26"/>
      <c r="H314" s="26"/>
      <c r="I314" s="26"/>
      <c r="J314" s="26"/>
      <c r="K314" s="27"/>
      <c r="L314" s="26"/>
      <c r="M314" s="26"/>
      <c r="N314" s="26"/>
      <c r="O314" s="26"/>
      <c r="P314" s="26"/>
    </row>
    <row r="315">
      <c r="A315" s="26"/>
      <c r="B315" s="26"/>
      <c r="C315" s="26"/>
      <c r="D315" s="26"/>
      <c r="E315" s="26"/>
      <c r="F315" s="26"/>
      <c r="G315" s="26"/>
      <c r="H315" s="26"/>
      <c r="I315" s="26"/>
      <c r="J315" s="26"/>
      <c r="K315" s="27"/>
      <c r="L315" s="26"/>
      <c r="M315" s="26"/>
      <c r="N315" s="26"/>
      <c r="O315" s="26"/>
      <c r="P315" s="26"/>
    </row>
    <row r="316">
      <c r="A316" s="26"/>
      <c r="B316" s="26"/>
      <c r="C316" s="26"/>
      <c r="D316" s="26"/>
      <c r="E316" s="26"/>
      <c r="F316" s="26"/>
      <c r="G316" s="26"/>
      <c r="H316" s="26"/>
      <c r="I316" s="26"/>
      <c r="J316" s="26"/>
      <c r="K316" s="27"/>
      <c r="L316" s="26"/>
      <c r="M316" s="26"/>
      <c r="N316" s="26"/>
      <c r="O316" s="26"/>
      <c r="P316" s="26"/>
    </row>
    <row r="317">
      <c r="A317" s="26"/>
      <c r="B317" s="26"/>
      <c r="C317" s="26"/>
      <c r="D317" s="26"/>
      <c r="E317" s="26"/>
      <c r="F317" s="26"/>
      <c r="G317" s="26"/>
      <c r="H317" s="26"/>
      <c r="I317" s="26"/>
      <c r="J317" s="26"/>
      <c r="K317" s="27"/>
      <c r="L317" s="26"/>
      <c r="M317" s="26"/>
      <c r="N317" s="26"/>
      <c r="O317" s="26"/>
      <c r="P317" s="26"/>
    </row>
    <row r="318">
      <c r="A318" s="26"/>
      <c r="B318" s="26"/>
      <c r="C318" s="26"/>
      <c r="D318" s="26"/>
      <c r="E318" s="26"/>
      <c r="F318" s="26"/>
      <c r="G318" s="26"/>
      <c r="H318" s="26"/>
      <c r="I318" s="26"/>
      <c r="J318" s="26"/>
      <c r="K318" s="27"/>
      <c r="L318" s="26"/>
      <c r="M318" s="26"/>
      <c r="N318" s="26"/>
      <c r="O318" s="26"/>
      <c r="P318" s="26"/>
    </row>
    <row r="319">
      <c r="A319" s="26"/>
      <c r="B319" s="26"/>
      <c r="C319" s="26"/>
      <c r="D319" s="26"/>
      <c r="E319" s="26"/>
      <c r="F319" s="26"/>
      <c r="G319" s="26"/>
      <c r="H319" s="26"/>
      <c r="I319" s="26"/>
      <c r="J319" s="26"/>
      <c r="K319" s="27"/>
      <c r="L319" s="26"/>
      <c r="M319" s="26"/>
      <c r="N319" s="26"/>
      <c r="O319" s="26"/>
      <c r="P319" s="26"/>
    </row>
    <row r="320">
      <c r="A320" s="26"/>
      <c r="B320" s="26"/>
      <c r="C320" s="26"/>
      <c r="D320" s="26"/>
      <c r="E320" s="26"/>
      <c r="F320" s="26"/>
      <c r="G320" s="26"/>
      <c r="H320" s="26"/>
      <c r="I320" s="26"/>
      <c r="J320" s="26"/>
      <c r="K320" s="27"/>
      <c r="L320" s="26"/>
      <c r="M320" s="26"/>
      <c r="N320" s="26"/>
      <c r="O320" s="26"/>
      <c r="P320" s="26"/>
    </row>
    <row r="321">
      <c r="A321" s="26"/>
      <c r="B321" s="26"/>
      <c r="C321" s="26"/>
      <c r="D321" s="26"/>
      <c r="E321" s="26"/>
      <c r="F321" s="26"/>
      <c r="G321" s="26"/>
      <c r="H321" s="26"/>
      <c r="I321" s="26"/>
      <c r="J321" s="26"/>
      <c r="K321" s="27"/>
      <c r="L321" s="26"/>
      <c r="M321" s="26"/>
      <c r="N321" s="26"/>
      <c r="O321" s="26"/>
      <c r="P321" s="26"/>
    </row>
    <row r="322">
      <c r="A322" s="26"/>
      <c r="B322" s="26"/>
      <c r="C322" s="26"/>
      <c r="D322" s="26"/>
      <c r="E322" s="26"/>
      <c r="F322" s="26"/>
      <c r="G322" s="26"/>
      <c r="H322" s="26"/>
      <c r="I322" s="26"/>
      <c r="J322" s="26"/>
      <c r="K322" s="27"/>
      <c r="L322" s="26"/>
      <c r="M322" s="26"/>
      <c r="N322" s="26"/>
      <c r="O322" s="26"/>
      <c r="P322" s="26"/>
    </row>
    <row r="323">
      <c r="A323" s="26"/>
      <c r="B323" s="26"/>
      <c r="C323" s="26"/>
      <c r="D323" s="26"/>
      <c r="E323" s="26"/>
      <c r="F323" s="26"/>
      <c r="G323" s="26"/>
      <c r="H323" s="26"/>
      <c r="I323" s="26"/>
      <c r="J323" s="26"/>
      <c r="K323" s="27"/>
      <c r="L323" s="26"/>
      <c r="M323" s="26"/>
      <c r="N323" s="26"/>
      <c r="O323" s="26"/>
      <c r="P323" s="26"/>
    </row>
    <row r="324">
      <c r="A324" s="26"/>
      <c r="B324" s="26"/>
      <c r="C324" s="26"/>
      <c r="D324" s="26"/>
      <c r="E324" s="26"/>
      <c r="F324" s="26"/>
      <c r="G324" s="26"/>
      <c r="H324" s="26"/>
      <c r="I324" s="26"/>
      <c r="J324" s="26"/>
      <c r="K324" s="27"/>
      <c r="L324" s="26"/>
      <c r="M324" s="26"/>
      <c r="N324" s="26"/>
      <c r="O324" s="26"/>
      <c r="P324" s="26"/>
    </row>
    <row r="325">
      <c r="A325" s="26"/>
      <c r="B325" s="26"/>
      <c r="C325" s="26"/>
      <c r="D325" s="26"/>
      <c r="E325" s="26"/>
      <c r="F325" s="26"/>
      <c r="G325" s="26"/>
      <c r="H325" s="26"/>
      <c r="I325" s="26"/>
      <c r="J325" s="26"/>
      <c r="K325" s="27"/>
      <c r="L325" s="26"/>
      <c r="M325" s="26"/>
      <c r="N325" s="26"/>
      <c r="O325" s="26"/>
      <c r="P325" s="26"/>
    </row>
    <row r="326">
      <c r="A326" s="26"/>
      <c r="B326" s="26"/>
      <c r="C326" s="26"/>
      <c r="D326" s="26"/>
      <c r="E326" s="26"/>
      <c r="F326" s="26"/>
      <c r="G326" s="26"/>
      <c r="H326" s="26"/>
      <c r="I326" s="26"/>
      <c r="J326" s="26"/>
      <c r="K326" s="27"/>
      <c r="L326" s="26"/>
      <c r="M326" s="26"/>
      <c r="N326" s="26"/>
      <c r="O326" s="26"/>
      <c r="P326" s="26"/>
    </row>
    <row r="327">
      <c r="A327" s="26"/>
      <c r="B327" s="26"/>
      <c r="C327" s="26"/>
      <c r="D327" s="26"/>
      <c r="E327" s="26"/>
      <c r="F327" s="26"/>
      <c r="G327" s="26"/>
      <c r="H327" s="26"/>
      <c r="I327" s="26"/>
      <c r="J327" s="26"/>
      <c r="K327" s="27"/>
      <c r="L327" s="26"/>
      <c r="M327" s="26"/>
      <c r="N327" s="26"/>
      <c r="O327" s="26"/>
      <c r="P327" s="26"/>
    </row>
    <row r="328">
      <c r="A328" s="26"/>
      <c r="B328" s="26"/>
      <c r="C328" s="26"/>
      <c r="D328" s="26"/>
      <c r="E328" s="26"/>
      <c r="F328" s="26"/>
      <c r="G328" s="26"/>
      <c r="H328" s="26"/>
      <c r="I328" s="26"/>
      <c r="J328" s="26"/>
      <c r="K328" s="27"/>
      <c r="L328" s="26"/>
      <c r="M328" s="26"/>
      <c r="N328" s="26"/>
      <c r="O328" s="26"/>
      <c r="P328" s="26"/>
    </row>
    <row r="329">
      <c r="A329" s="26"/>
      <c r="B329" s="26"/>
      <c r="C329" s="26"/>
      <c r="D329" s="26"/>
      <c r="E329" s="26"/>
      <c r="F329" s="26"/>
      <c r="G329" s="26"/>
      <c r="H329" s="26"/>
      <c r="I329" s="26"/>
      <c r="J329" s="26"/>
      <c r="K329" s="27"/>
      <c r="L329" s="26"/>
      <c r="M329" s="26"/>
      <c r="N329" s="26"/>
      <c r="O329" s="26"/>
      <c r="P329" s="26"/>
    </row>
    <row r="330">
      <c r="A330" s="26"/>
      <c r="B330" s="26"/>
      <c r="C330" s="26"/>
      <c r="D330" s="26"/>
      <c r="E330" s="26"/>
      <c r="F330" s="26"/>
      <c r="G330" s="26"/>
      <c r="H330" s="26"/>
      <c r="I330" s="26"/>
      <c r="J330" s="26"/>
      <c r="K330" s="27"/>
      <c r="L330" s="26"/>
      <c r="M330" s="26"/>
      <c r="N330" s="26"/>
      <c r="O330" s="26"/>
      <c r="P330" s="26"/>
    </row>
    <row r="331">
      <c r="A331" s="26"/>
      <c r="B331" s="26"/>
      <c r="C331" s="26"/>
      <c r="D331" s="26"/>
      <c r="E331" s="26"/>
      <c r="F331" s="26"/>
      <c r="G331" s="26"/>
      <c r="H331" s="26"/>
      <c r="I331" s="26"/>
      <c r="J331" s="26"/>
      <c r="K331" s="27"/>
      <c r="L331" s="26"/>
      <c r="M331" s="26"/>
      <c r="N331" s="26"/>
      <c r="O331" s="26"/>
      <c r="P331" s="26"/>
    </row>
    <row r="332">
      <c r="A332" s="26"/>
      <c r="B332" s="26"/>
      <c r="C332" s="26"/>
      <c r="D332" s="26"/>
      <c r="E332" s="26"/>
      <c r="F332" s="26"/>
      <c r="G332" s="26"/>
      <c r="H332" s="26"/>
      <c r="I332" s="26"/>
      <c r="J332" s="26"/>
      <c r="K332" s="27"/>
      <c r="L332" s="26"/>
      <c r="M332" s="26"/>
      <c r="N332" s="26"/>
      <c r="O332" s="26"/>
      <c r="P332" s="26"/>
    </row>
    <row r="333">
      <c r="A333" s="26"/>
      <c r="B333" s="26"/>
      <c r="C333" s="26"/>
      <c r="D333" s="26"/>
      <c r="E333" s="26"/>
      <c r="F333" s="26"/>
      <c r="G333" s="26"/>
      <c r="H333" s="26"/>
      <c r="I333" s="26"/>
      <c r="J333" s="26"/>
      <c r="K333" s="27"/>
      <c r="L333" s="26"/>
      <c r="M333" s="26"/>
      <c r="N333" s="26"/>
      <c r="O333" s="26"/>
      <c r="P333" s="26"/>
    </row>
    <row r="334">
      <c r="A334" s="26"/>
      <c r="B334" s="26"/>
      <c r="C334" s="26"/>
      <c r="D334" s="26"/>
      <c r="E334" s="26"/>
      <c r="F334" s="26"/>
      <c r="G334" s="26"/>
      <c r="H334" s="26"/>
      <c r="I334" s="26"/>
      <c r="J334" s="26"/>
      <c r="K334" s="27"/>
      <c r="L334" s="26"/>
      <c r="M334" s="26"/>
      <c r="N334" s="26"/>
      <c r="O334" s="26"/>
      <c r="P334" s="26"/>
    </row>
    <row r="335">
      <c r="A335" s="26"/>
      <c r="B335" s="26"/>
      <c r="C335" s="26"/>
      <c r="D335" s="26"/>
      <c r="E335" s="26"/>
      <c r="F335" s="26"/>
      <c r="G335" s="26"/>
      <c r="H335" s="26"/>
      <c r="I335" s="26"/>
      <c r="J335" s="26"/>
      <c r="K335" s="27"/>
      <c r="L335" s="26"/>
      <c r="M335" s="26"/>
      <c r="N335" s="26"/>
      <c r="O335" s="26"/>
      <c r="P335" s="26"/>
    </row>
    <row r="336">
      <c r="A336" s="26"/>
      <c r="B336" s="26"/>
      <c r="C336" s="26"/>
      <c r="D336" s="26"/>
      <c r="E336" s="26"/>
      <c r="F336" s="26"/>
      <c r="G336" s="26"/>
      <c r="H336" s="26"/>
      <c r="I336" s="26"/>
      <c r="J336" s="26"/>
      <c r="K336" s="27"/>
      <c r="L336" s="26"/>
      <c r="M336" s="26"/>
      <c r="N336" s="26"/>
      <c r="O336" s="26"/>
      <c r="P336" s="26"/>
    </row>
    <row r="337">
      <c r="A337" s="26"/>
      <c r="B337" s="26"/>
      <c r="C337" s="26"/>
      <c r="D337" s="26"/>
      <c r="E337" s="26"/>
      <c r="F337" s="26"/>
      <c r="G337" s="26"/>
      <c r="H337" s="26"/>
      <c r="I337" s="26"/>
      <c r="J337" s="26"/>
      <c r="K337" s="27"/>
      <c r="L337" s="26"/>
      <c r="M337" s="26"/>
      <c r="N337" s="26"/>
      <c r="O337" s="26"/>
      <c r="P337" s="26"/>
    </row>
    <row r="338">
      <c r="A338" s="26"/>
      <c r="B338" s="26"/>
      <c r="C338" s="26"/>
      <c r="D338" s="26"/>
      <c r="E338" s="26"/>
      <c r="F338" s="26"/>
      <c r="G338" s="26"/>
      <c r="H338" s="26"/>
      <c r="I338" s="26"/>
      <c r="J338" s="26"/>
      <c r="K338" s="27"/>
      <c r="L338" s="26"/>
      <c r="M338" s="26"/>
      <c r="N338" s="26"/>
      <c r="O338" s="26"/>
      <c r="P338" s="26"/>
    </row>
    <row r="339">
      <c r="A339" s="26"/>
      <c r="B339" s="26"/>
      <c r="C339" s="26"/>
      <c r="D339" s="26"/>
      <c r="E339" s="26"/>
      <c r="F339" s="26"/>
      <c r="G339" s="26"/>
      <c r="H339" s="26"/>
      <c r="I339" s="26"/>
      <c r="J339" s="26"/>
      <c r="K339" s="27"/>
      <c r="L339" s="26"/>
      <c r="M339" s="26"/>
      <c r="N339" s="26"/>
      <c r="O339" s="26"/>
      <c r="P339" s="26"/>
    </row>
    <row r="340">
      <c r="A340" s="26"/>
      <c r="B340" s="26"/>
      <c r="C340" s="26"/>
      <c r="D340" s="26"/>
      <c r="E340" s="26"/>
      <c r="F340" s="26"/>
      <c r="G340" s="26"/>
      <c r="H340" s="26"/>
      <c r="I340" s="26"/>
      <c r="J340" s="26"/>
      <c r="K340" s="27"/>
      <c r="L340" s="26"/>
      <c r="M340" s="26"/>
      <c r="N340" s="26"/>
      <c r="O340" s="26"/>
      <c r="P340" s="26"/>
    </row>
    <row r="341">
      <c r="A341" s="26"/>
      <c r="B341" s="26"/>
      <c r="C341" s="26"/>
      <c r="D341" s="26"/>
      <c r="E341" s="26"/>
      <c r="F341" s="26"/>
      <c r="G341" s="26"/>
      <c r="H341" s="26"/>
      <c r="I341" s="26"/>
      <c r="J341" s="26"/>
      <c r="K341" s="27"/>
      <c r="L341" s="26"/>
      <c r="M341" s="26"/>
      <c r="N341" s="26"/>
      <c r="O341" s="26"/>
      <c r="P341" s="26"/>
    </row>
    <row r="342">
      <c r="A342" s="26"/>
      <c r="B342" s="26"/>
      <c r="C342" s="26"/>
      <c r="D342" s="26"/>
      <c r="E342" s="26"/>
      <c r="F342" s="26"/>
      <c r="G342" s="26"/>
      <c r="H342" s="26"/>
      <c r="I342" s="26"/>
      <c r="J342" s="26"/>
      <c r="K342" s="27"/>
      <c r="L342" s="26"/>
      <c r="M342" s="26"/>
      <c r="N342" s="26"/>
      <c r="O342" s="26"/>
      <c r="P342" s="26"/>
    </row>
    <row r="343">
      <c r="A343" s="26"/>
      <c r="B343" s="26"/>
      <c r="C343" s="26"/>
      <c r="D343" s="26"/>
      <c r="E343" s="26"/>
      <c r="F343" s="26"/>
      <c r="G343" s="26"/>
      <c r="H343" s="26"/>
      <c r="I343" s="26"/>
      <c r="J343" s="26"/>
      <c r="K343" s="27"/>
      <c r="L343" s="26"/>
      <c r="M343" s="26"/>
      <c r="N343" s="26"/>
      <c r="O343" s="26"/>
      <c r="P343" s="26"/>
    </row>
    <row r="344">
      <c r="A344" s="26"/>
      <c r="B344" s="26"/>
      <c r="C344" s="26"/>
      <c r="D344" s="26"/>
      <c r="E344" s="26"/>
      <c r="F344" s="26"/>
      <c r="G344" s="26"/>
      <c r="H344" s="26"/>
      <c r="I344" s="26"/>
      <c r="J344" s="26"/>
      <c r="K344" s="27"/>
      <c r="L344" s="26"/>
      <c r="M344" s="26"/>
      <c r="N344" s="26"/>
      <c r="O344" s="26"/>
      <c r="P344" s="26"/>
    </row>
    <row r="345">
      <c r="A345" s="26"/>
      <c r="B345" s="26"/>
      <c r="C345" s="26"/>
      <c r="D345" s="26"/>
      <c r="E345" s="26"/>
      <c r="F345" s="26"/>
      <c r="G345" s="26"/>
      <c r="H345" s="26"/>
      <c r="I345" s="26"/>
      <c r="J345" s="26"/>
      <c r="K345" s="27"/>
      <c r="L345" s="26"/>
      <c r="M345" s="26"/>
      <c r="N345" s="26"/>
      <c r="O345" s="26"/>
      <c r="P345" s="26"/>
    </row>
    <row r="346">
      <c r="A346" s="26"/>
      <c r="B346" s="26"/>
      <c r="C346" s="26"/>
      <c r="D346" s="26"/>
      <c r="E346" s="26"/>
      <c r="F346" s="26"/>
      <c r="G346" s="26"/>
      <c r="H346" s="26"/>
      <c r="I346" s="26"/>
      <c r="J346" s="26"/>
      <c r="K346" s="27"/>
      <c r="L346" s="26"/>
      <c r="M346" s="26"/>
      <c r="N346" s="26"/>
      <c r="O346" s="26"/>
      <c r="P346" s="26"/>
    </row>
    <row r="347">
      <c r="A347" s="26"/>
      <c r="B347" s="26"/>
      <c r="C347" s="26"/>
      <c r="D347" s="26"/>
      <c r="E347" s="26"/>
      <c r="F347" s="26"/>
      <c r="G347" s="26"/>
      <c r="H347" s="26"/>
      <c r="I347" s="26"/>
      <c r="J347" s="26"/>
      <c r="K347" s="27"/>
      <c r="L347" s="26"/>
      <c r="M347" s="26"/>
      <c r="N347" s="26"/>
      <c r="O347" s="26"/>
      <c r="P347" s="26"/>
    </row>
    <row r="348">
      <c r="A348" s="26"/>
      <c r="B348" s="26"/>
      <c r="C348" s="26"/>
      <c r="D348" s="26"/>
      <c r="E348" s="26"/>
      <c r="F348" s="26"/>
      <c r="G348" s="26"/>
      <c r="H348" s="26"/>
      <c r="I348" s="26"/>
      <c r="J348" s="26"/>
      <c r="K348" s="27"/>
      <c r="L348" s="26"/>
      <c r="M348" s="26"/>
      <c r="N348" s="26"/>
      <c r="O348" s="26"/>
      <c r="P348" s="26"/>
    </row>
    <row r="349">
      <c r="A349" s="26"/>
      <c r="B349" s="26"/>
      <c r="C349" s="26"/>
      <c r="D349" s="26"/>
      <c r="E349" s="26"/>
      <c r="F349" s="26"/>
      <c r="G349" s="26"/>
      <c r="H349" s="26"/>
      <c r="I349" s="26"/>
      <c r="J349" s="26"/>
      <c r="K349" s="27"/>
      <c r="L349" s="26"/>
      <c r="M349" s="26"/>
      <c r="N349" s="26"/>
      <c r="O349" s="26"/>
      <c r="P349" s="26"/>
    </row>
    <row r="350">
      <c r="A350" s="26"/>
      <c r="B350" s="26"/>
      <c r="C350" s="26"/>
      <c r="D350" s="26"/>
      <c r="E350" s="26"/>
      <c r="F350" s="26"/>
      <c r="G350" s="26"/>
      <c r="H350" s="26"/>
      <c r="I350" s="26"/>
      <c r="J350" s="26"/>
      <c r="K350" s="27"/>
      <c r="L350" s="26"/>
      <c r="M350" s="26"/>
      <c r="N350" s="26"/>
      <c r="O350" s="26"/>
      <c r="P350" s="26"/>
    </row>
    <row r="351">
      <c r="A351" s="26"/>
      <c r="B351" s="26"/>
      <c r="C351" s="26"/>
      <c r="D351" s="26"/>
      <c r="E351" s="26"/>
      <c r="F351" s="26"/>
      <c r="G351" s="26"/>
      <c r="H351" s="26"/>
      <c r="I351" s="26"/>
      <c r="J351" s="26"/>
      <c r="K351" s="27"/>
      <c r="L351" s="26"/>
      <c r="M351" s="26"/>
      <c r="N351" s="26"/>
      <c r="O351" s="26"/>
      <c r="P351" s="26"/>
    </row>
    <row r="352">
      <c r="A352" s="26"/>
      <c r="B352" s="26"/>
      <c r="C352" s="26"/>
      <c r="D352" s="26"/>
      <c r="E352" s="26"/>
      <c r="F352" s="26"/>
      <c r="G352" s="26"/>
      <c r="H352" s="26"/>
      <c r="I352" s="26"/>
      <c r="J352" s="26"/>
      <c r="K352" s="27"/>
      <c r="L352" s="26"/>
      <c r="M352" s="26"/>
      <c r="N352" s="26"/>
      <c r="O352" s="26"/>
      <c r="P352" s="26"/>
    </row>
    <row r="353">
      <c r="A353" s="26"/>
      <c r="B353" s="26"/>
      <c r="C353" s="26"/>
      <c r="D353" s="26"/>
      <c r="E353" s="26"/>
      <c r="F353" s="26"/>
      <c r="G353" s="26"/>
      <c r="H353" s="26"/>
      <c r="I353" s="26"/>
      <c r="J353" s="26"/>
      <c r="K353" s="27"/>
      <c r="L353" s="26"/>
      <c r="M353" s="26"/>
      <c r="N353" s="26"/>
      <c r="O353" s="26"/>
      <c r="P353" s="26"/>
    </row>
    <row r="354">
      <c r="A354" s="26"/>
      <c r="B354" s="26"/>
      <c r="C354" s="26"/>
      <c r="D354" s="26"/>
      <c r="E354" s="26"/>
      <c r="F354" s="26"/>
      <c r="G354" s="26"/>
      <c r="H354" s="26"/>
      <c r="I354" s="26"/>
      <c r="J354" s="26"/>
      <c r="K354" s="27"/>
      <c r="L354" s="26"/>
      <c r="M354" s="26"/>
      <c r="N354" s="26"/>
      <c r="O354" s="26"/>
      <c r="P354" s="26"/>
    </row>
    <row r="355">
      <c r="A355" s="26"/>
      <c r="B355" s="26"/>
      <c r="C355" s="26"/>
      <c r="D355" s="26"/>
      <c r="E355" s="26"/>
      <c r="F355" s="26"/>
      <c r="G355" s="26"/>
      <c r="H355" s="26"/>
      <c r="I355" s="26"/>
      <c r="J355" s="26"/>
      <c r="K355" s="27"/>
      <c r="L355" s="26"/>
      <c r="M355" s="26"/>
      <c r="N355" s="26"/>
      <c r="O355" s="26"/>
      <c r="P355" s="26"/>
    </row>
    <row r="356">
      <c r="A356" s="26"/>
      <c r="B356" s="26"/>
      <c r="C356" s="26"/>
      <c r="D356" s="26"/>
      <c r="E356" s="26"/>
      <c r="F356" s="26"/>
      <c r="G356" s="26"/>
      <c r="H356" s="26"/>
      <c r="I356" s="26"/>
      <c r="J356" s="26"/>
      <c r="K356" s="27"/>
      <c r="L356" s="26"/>
      <c r="M356" s="26"/>
      <c r="N356" s="26"/>
      <c r="O356" s="26"/>
      <c r="P356" s="26"/>
    </row>
    <row r="357">
      <c r="A357" s="26"/>
      <c r="B357" s="26"/>
      <c r="C357" s="26"/>
      <c r="D357" s="26"/>
      <c r="E357" s="26"/>
      <c r="F357" s="26"/>
      <c r="G357" s="26"/>
      <c r="H357" s="26"/>
      <c r="I357" s="26"/>
      <c r="J357" s="26"/>
      <c r="K357" s="27"/>
      <c r="L357" s="26"/>
      <c r="M357" s="26"/>
      <c r="N357" s="26"/>
      <c r="O357" s="26"/>
      <c r="P357" s="26"/>
    </row>
    <row r="358">
      <c r="A358" s="26"/>
      <c r="B358" s="26"/>
      <c r="C358" s="26"/>
      <c r="D358" s="26"/>
      <c r="E358" s="26"/>
      <c r="F358" s="26"/>
      <c r="G358" s="26"/>
      <c r="H358" s="26"/>
      <c r="I358" s="26"/>
      <c r="J358" s="26"/>
      <c r="K358" s="27"/>
      <c r="L358" s="26"/>
      <c r="M358" s="26"/>
      <c r="N358" s="26"/>
      <c r="O358" s="26"/>
      <c r="P358" s="26"/>
    </row>
    <row r="359">
      <c r="A359" s="26"/>
      <c r="B359" s="26"/>
      <c r="C359" s="26"/>
      <c r="D359" s="26"/>
      <c r="E359" s="26"/>
      <c r="F359" s="26"/>
      <c r="G359" s="26"/>
      <c r="H359" s="26"/>
      <c r="I359" s="26"/>
      <c r="J359" s="26"/>
      <c r="K359" s="27"/>
      <c r="L359" s="26"/>
      <c r="M359" s="26"/>
      <c r="N359" s="26"/>
      <c r="O359" s="26"/>
      <c r="P359" s="26"/>
    </row>
    <row r="360">
      <c r="A360" s="26"/>
      <c r="B360" s="26"/>
      <c r="C360" s="26"/>
      <c r="D360" s="26"/>
      <c r="E360" s="26"/>
      <c r="F360" s="26"/>
      <c r="G360" s="26"/>
      <c r="H360" s="26"/>
      <c r="I360" s="26"/>
      <c r="J360" s="26"/>
      <c r="K360" s="27"/>
      <c r="L360" s="26"/>
      <c r="M360" s="26"/>
      <c r="N360" s="26"/>
      <c r="O360" s="26"/>
      <c r="P360" s="26"/>
    </row>
    <row r="361">
      <c r="A361" s="26"/>
      <c r="B361" s="26"/>
      <c r="C361" s="26"/>
      <c r="D361" s="26"/>
      <c r="E361" s="26"/>
      <c r="F361" s="26"/>
      <c r="G361" s="26"/>
      <c r="H361" s="26"/>
      <c r="I361" s="26"/>
      <c r="J361" s="26"/>
      <c r="K361" s="27"/>
      <c r="L361" s="26"/>
      <c r="M361" s="26"/>
      <c r="N361" s="26"/>
      <c r="O361" s="26"/>
      <c r="P361" s="26"/>
    </row>
    <row r="362">
      <c r="A362" s="26"/>
      <c r="B362" s="26"/>
      <c r="C362" s="26"/>
      <c r="D362" s="26"/>
      <c r="E362" s="26"/>
      <c r="F362" s="26"/>
      <c r="G362" s="26"/>
      <c r="H362" s="26"/>
      <c r="I362" s="26"/>
      <c r="J362" s="26"/>
      <c r="K362" s="27"/>
      <c r="L362" s="26"/>
      <c r="M362" s="26"/>
      <c r="N362" s="26"/>
      <c r="O362" s="26"/>
      <c r="P362" s="26"/>
    </row>
    <row r="363">
      <c r="A363" s="26"/>
      <c r="B363" s="26"/>
      <c r="C363" s="26"/>
      <c r="D363" s="26"/>
      <c r="E363" s="26"/>
      <c r="F363" s="26"/>
      <c r="G363" s="26"/>
      <c r="H363" s="26"/>
      <c r="I363" s="26"/>
      <c r="J363" s="26"/>
      <c r="K363" s="27"/>
      <c r="L363" s="26"/>
      <c r="M363" s="26"/>
      <c r="N363" s="26"/>
      <c r="O363" s="26"/>
      <c r="P363" s="26"/>
    </row>
    <row r="364">
      <c r="A364" s="26"/>
      <c r="B364" s="26"/>
      <c r="C364" s="26"/>
      <c r="D364" s="26"/>
      <c r="E364" s="26"/>
      <c r="F364" s="26"/>
      <c r="G364" s="26"/>
      <c r="H364" s="26"/>
      <c r="I364" s="26"/>
      <c r="J364" s="26"/>
      <c r="K364" s="27"/>
      <c r="L364" s="26"/>
      <c r="M364" s="26"/>
      <c r="N364" s="26"/>
      <c r="O364" s="26"/>
      <c r="P364" s="26"/>
    </row>
    <row r="365">
      <c r="A365" s="26"/>
      <c r="B365" s="26"/>
      <c r="C365" s="26"/>
      <c r="D365" s="26"/>
      <c r="E365" s="26"/>
      <c r="F365" s="26"/>
      <c r="G365" s="26"/>
      <c r="H365" s="26"/>
      <c r="I365" s="26"/>
      <c r="J365" s="26"/>
      <c r="K365" s="27"/>
      <c r="L365" s="26"/>
      <c r="M365" s="26"/>
      <c r="N365" s="26"/>
      <c r="O365" s="26"/>
      <c r="P365" s="26"/>
    </row>
    <row r="366">
      <c r="A366" s="26"/>
      <c r="B366" s="26"/>
      <c r="C366" s="26"/>
      <c r="D366" s="26"/>
      <c r="E366" s="26"/>
      <c r="F366" s="26"/>
      <c r="G366" s="26"/>
      <c r="H366" s="26"/>
      <c r="I366" s="26"/>
      <c r="J366" s="26"/>
      <c r="K366" s="27"/>
      <c r="L366" s="26"/>
      <c r="M366" s="26"/>
      <c r="N366" s="26"/>
      <c r="O366" s="26"/>
      <c r="P366" s="26"/>
    </row>
    <row r="367">
      <c r="A367" s="26"/>
      <c r="B367" s="26"/>
      <c r="C367" s="26"/>
      <c r="D367" s="26"/>
      <c r="E367" s="26"/>
      <c r="F367" s="26"/>
      <c r="G367" s="26"/>
      <c r="H367" s="26"/>
      <c r="I367" s="26"/>
      <c r="J367" s="26"/>
      <c r="K367" s="27"/>
      <c r="L367" s="26"/>
      <c r="M367" s="26"/>
      <c r="N367" s="26"/>
      <c r="O367" s="26"/>
      <c r="P367" s="26"/>
    </row>
    <row r="368">
      <c r="A368" s="26"/>
      <c r="B368" s="26"/>
      <c r="C368" s="26"/>
      <c r="D368" s="26"/>
      <c r="E368" s="26"/>
      <c r="F368" s="26"/>
      <c r="G368" s="26"/>
      <c r="H368" s="26"/>
      <c r="I368" s="26"/>
      <c r="J368" s="26"/>
      <c r="K368" s="27"/>
      <c r="L368" s="26"/>
      <c r="M368" s="26"/>
      <c r="N368" s="26"/>
      <c r="O368" s="26"/>
      <c r="P368" s="26"/>
    </row>
    <row r="369">
      <c r="A369" s="26"/>
      <c r="B369" s="26"/>
      <c r="C369" s="26"/>
      <c r="D369" s="26"/>
      <c r="E369" s="26"/>
      <c r="F369" s="26"/>
      <c r="G369" s="26"/>
      <c r="H369" s="26"/>
      <c r="I369" s="26"/>
      <c r="J369" s="26"/>
      <c r="K369" s="27"/>
      <c r="L369" s="26"/>
      <c r="M369" s="26"/>
      <c r="N369" s="26"/>
      <c r="O369" s="26"/>
      <c r="P369" s="26"/>
    </row>
    <row r="370">
      <c r="A370" s="26"/>
      <c r="B370" s="26"/>
      <c r="C370" s="26"/>
      <c r="D370" s="26"/>
      <c r="E370" s="26"/>
      <c r="F370" s="26"/>
      <c r="G370" s="26"/>
      <c r="H370" s="26"/>
      <c r="I370" s="26"/>
      <c r="J370" s="26"/>
      <c r="K370" s="27"/>
      <c r="L370" s="26"/>
      <c r="M370" s="26"/>
      <c r="N370" s="26"/>
      <c r="O370" s="26"/>
      <c r="P370" s="26"/>
    </row>
    <row r="371">
      <c r="A371" s="26"/>
      <c r="B371" s="26"/>
      <c r="C371" s="26"/>
      <c r="D371" s="26"/>
      <c r="E371" s="26"/>
      <c r="F371" s="26"/>
      <c r="G371" s="26"/>
      <c r="H371" s="26"/>
      <c r="I371" s="26"/>
      <c r="J371" s="26"/>
      <c r="K371" s="27"/>
      <c r="L371" s="26"/>
      <c r="M371" s="26"/>
      <c r="N371" s="26"/>
      <c r="O371" s="26"/>
      <c r="P371" s="26"/>
    </row>
    <row r="372">
      <c r="A372" s="26"/>
      <c r="B372" s="26"/>
      <c r="C372" s="26"/>
      <c r="D372" s="26"/>
      <c r="E372" s="26"/>
      <c r="F372" s="26"/>
      <c r="G372" s="26"/>
      <c r="H372" s="26"/>
      <c r="I372" s="26"/>
      <c r="J372" s="26"/>
      <c r="K372" s="27"/>
      <c r="L372" s="26"/>
      <c r="M372" s="26"/>
      <c r="N372" s="26"/>
      <c r="O372" s="26"/>
      <c r="P372" s="26"/>
    </row>
    <row r="373">
      <c r="A373" s="26"/>
      <c r="B373" s="26"/>
      <c r="C373" s="26"/>
      <c r="D373" s="26"/>
      <c r="E373" s="26"/>
      <c r="F373" s="26"/>
      <c r="G373" s="26"/>
      <c r="H373" s="26"/>
      <c r="I373" s="26"/>
      <c r="J373" s="26"/>
      <c r="K373" s="27"/>
      <c r="L373" s="26"/>
      <c r="M373" s="26"/>
      <c r="N373" s="26"/>
      <c r="O373" s="26"/>
      <c r="P373" s="26"/>
    </row>
    <row r="374">
      <c r="A374" s="26"/>
      <c r="B374" s="26"/>
      <c r="C374" s="26"/>
      <c r="D374" s="26"/>
      <c r="E374" s="26"/>
      <c r="F374" s="26"/>
      <c r="G374" s="26"/>
      <c r="H374" s="26"/>
      <c r="I374" s="26"/>
      <c r="J374" s="26"/>
      <c r="K374" s="27"/>
      <c r="L374" s="26"/>
      <c r="M374" s="26"/>
      <c r="N374" s="26"/>
      <c r="O374" s="26"/>
      <c r="P374" s="26"/>
    </row>
    <row r="375">
      <c r="A375" s="26"/>
      <c r="B375" s="26"/>
      <c r="C375" s="26"/>
      <c r="D375" s="26"/>
      <c r="E375" s="26"/>
      <c r="F375" s="26"/>
      <c r="G375" s="26"/>
      <c r="H375" s="26"/>
      <c r="I375" s="26"/>
      <c r="J375" s="26"/>
      <c r="K375" s="27"/>
      <c r="L375" s="26"/>
      <c r="M375" s="26"/>
      <c r="N375" s="26"/>
      <c r="O375" s="26"/>
      <c r="P375" s="26"/>
    </row>
    <row r="376">
      <c r="A376" s="26"/>
      <c r="B376" s="26"/>
      <c r="C376" s="26"/>
      <c r="D376" s="26"/>
      <c r="E376" s="26"/>
      <c r="F376" s="26"/>
      <c r="G376" s="26"/>
      <c r="H376" s="26"/>
      <c r="I376" s="26"/>
      <c r="J376" s="26"/>
      <c r="K376" s="27"/>
      <c r="L376" s="26"/>
      <c r="M376" s="26"/>
      <c r="N376" s="26"/>
      <c r="O376" s="26"/>
      <c r="P376" s="26"/>
    </row>
    <row r="377">
      <c r="A377" s="26"/>
      <c r="B377" s="26"/>
      <c r="C377" s="26"/>
      <c r="D377" s="26"/>
      <c r="E377" s="26"/>
      <c r="F377" s="26"/>
      <c r="G377" s="26"/>
      <c r="H377" s="26"/>
      <c r="I377" s="26"/>
      <c r="J377" s="26"/>
      <c r="K377" s="27"/>
      <c r="L377" s="26"/>
      <c r="M377" s="26"/>
      <c r="N377" s="26"/>
      <c r="O377" s="26"/>
      <c r="P377" s="26"/>
    </row>
    <row r="378">
      <c r="A378" s="26"/>
      <c r="B378" s="26"/>
      <c r="C378" s="26"/>
      <c r="D378" s="26"/>
      <c r="E378" s="26"/>
      <c r="F378" s="26"/>
      <c r="G378" s="26"/>
      <c r="H378" s="26"/>
      <c r="I378" s="26"/>
      <c r="J378" s="26"/>
      <c r="K378" s="27"/>
      <c r="L378" s="26"/>
      <c r="M378" s="26"/>
      <c r="N378" s="26"/>
      <c r="O378" s="26"/>
      <c r="P378" s="26"/>
    </row>
    <row r="379">
      <c r="A379" s="26"/>
      <c r="B379" s="26"/>
      <c r="C379" s="26"/>
      <c r="D379" s="26"/>
      <c r="E379" s="26"/>
      <c r="F379" s="26"/>
      <c r="G379" s="26"/>
      <c r="H379" s="26"/>
      <c r="I379" s="26"/>
      <c r="J379" s="26"/>
      <c r="K379" s="27"/>
      <c r="L379" s="26"/>
      <c r="M379" s="26"/>
      <c r="N379" s="26"/>
      <c r="O379" s="26"/>
      <c r="P379" s="26"/>
    </row>
    <row r="380">
      <c r="A380" s="26"/>
      <c r="B380" s="26"/>
      <c r="C380" s="26"/>
      <c r="D380" s="26"/>
      <c r="E380" s="26"/>
      <c r="F380" s="26"/>
      <c r="G380" s="26"/>
      <c r="H380" s="26"/>
      <c r="I380" s="26"/>
      <c r="J380" s="26"/>
      <c r="K380" s="27"/>
      <c r="L380" s="26"/>
      <c r="M380" s="26"/>
      <c r="N380" s="26"/>
      <c r="O380" s="26"/>
      <c r="P380" s="26"/>
    </row>
    <row r="381">
      <c r="A381" s="26"/>
      <c r="B381" s="26"/>
      <c r="C381" s="26"/>
      <c r="D381" s="26"/>
      <c r="E381" s="26"/>
      <c r="F381" s="26"/>
      <c r="G381" s="26"/>
      <c r="H381" s="26"/>
      <c r="I381" s="26"/>
      <c r="J381" s="26"/>
      <c r="K381" s="27"/>
      <c r="L381" s="26"/>
      <c r="M381" s="26"/>
      <c r="N381" s="26"/>
      <c r="O381" s="26"/>
      <c r="P381" s="26"/>
    </row>
    <row r="382">
      <c r="A382" s="26"/>
      <c r="B382" s="26"/>
      <c r="C382" s="26"/>
      <c r="D382" s="26"/>
      <c r="E382" s="26"/>
      <c r="F382" s="26"/>
      <c r="G382" s="26"/>
      <c r="H382" s="26"/>
      <c r="I382" s="26"/>
      <c r="J382" s="26"/>
      <c r="K382" s="27"/>
      <c r="L382" s="26"/>
      <c r="M382" s="26"/>
      <c r="N382" s="26"/>
      <c r="O382" s="26"/>
      <c r="P382" s="26"/>
    </row>
    <row r="383">
      <c r="A383" s="26"/>
      <c r="B383" s="26"/>
      <c r="C383" s="26"/>
      <c r="D383" s="26"/>
      <c r="E383" s="26"/>
      <c r="F383" s="26"/>
      <c r="G383" s="26"/>
      <c r="H383" s="26"/>
      <c r="I383" s="26"/>
      <c r="J383" s="26"/>
      <c r="K383" s="27"/>
      <c r="L383" s="26"/>
      <c r="M383" s="26"/>
      <c r="N383" s="26"/>
      <c r="O383" s="26"/>
      <c r="P383" s="26"/>
    </row>
    <row r="384">
      <c r="A384" s="26"/>
      <c r="B384" s="26"/>
      <c r="C384" s="26"/>
      <c r="D384" s="26"/>
      <c r="E384" s="26"/>
      <c r="F384" s="26"/>
      <c r="G384" s="26"/>
      <c r="H384" s="26"/>
      <c r="I384" s="26"/>
      <c r="J384" s="26"/>
      <c r="K384" s="27"/>
      <c r="L384" s="26"/>
      <c r="M384" s="26"/>
      <c r="N384" s="26"/>
      <c r="O384" s="26"/>
      <c r="P384" s="26"/>
    </row>
    <row r="385">
      <c r="A385" s="26"/>
      <c r="B385" s="26"/>
      <c r="C385" s="26"/>
      <c r="D385" s="26"/>
      <c r="E385" s="26"/>
      <c r="F385" s="26"/>
      <c r="G385" s="26"/>
      <c r="H385" s="26"/>
      <c r="I385" s="26"/>
      <c r="J385" s="26"/>
      <c r="K385" s="27"/>
      <c r="L385" s="26"/>
      <c r="M385" s="26"/>
      <c r="N385" s="26"/>
      <c r="O385" s="26"/>
      <c r="P385" s="26"/>
    </row>
    <row r="386">
      <c r="A386" s="26"/>
      <c r="B386" s="26"/>
      <c r="C386" s="26"/>
      <c r="D386" s="26"/>
      <c r="E386" s="26"/>
      <c r="F386" s="26"/>
      <c r="G386" s="26"/>
      <c r="H386" s="26"/>
      <c r="I386" s="26"/>
      <c r="J386" s="26"/>
      <c r="K386" s="27"/>
      <c r="L386" s="26"/>
      <c r="M386" s="26"/>
      <c r="N386" s="26"/>
      <c r="O386" s="26"/>
      <c r="P386" s="26"/>
    </row>
    <row r="387">
      <c r="A387" s="26"/>
      <c r="B387" s="26"/>
      <c r="C387" s="26"/>
      <c r="D387" s="26"/>
      <c r="E387" s="26"/>
      <c r="F387" s="26"/>
      <c r="G387" s="26"/>
      <c r="H387" s="26"/>
      <c r="I387" s="26"/>
      <c r="J387" s="26"/>
      <c r="K387" s="27"/>
      <c r="L387" s="26"/>
      <c r="M387" s="26"/>
      <c r="N387" s="26"/>
      <c r="O387" s="26"/>
      <c r="P387" s="26"/>
    </row>
    <row r="388">
      <c r="A388" s="26"/>
      <c r="B388" s="26"/>
      <c r="C388" s="26"/>
      <c r="D388" s="26"/>
      <c r="E388" s="26"/>
      <c r="F388" s="26"/>
      <c r="G388" s="26"/>
      <c r="H388" s="26"/>
      <c r="I388" s="26"/>
      <c r="J388" s="26"/>
      <c r="K388" s="27"/>
      <c r="L388" s="26"/>
      <c r="M388" s="26"/>
      <c r="N388" s="26"/>
      <c r="O388" s="26"/>
      <c r="P388" s="26"/>
    </row>
    <row r="389">
      <c r="A389" s="26"/>
      <c r="B389" s="26"/>
      <c r="C389" s="26"/>
      <c r="D389" s="26"/>
      <c r="E389" s="26"/>
      <c r="F389" s="26"/>
      <c r="G389" s="26"/>
      <c r="H389" s="26"/>
      <c r="I389" s="26"/>
      <c r="J389" s="26"/>
      <c r="K389" s="27"/>
      <c r="L389" s="26"/>
      <c r="M389" s="26"/>
      <c r="N389" s="26"/>
      <c r="O389" s="26"/>
      <c r="P389" s="26"/>
    </row>
    <row r="390">
      <c r="A390" s="26"/>
      <c r="B390" s="26"/>
      <c r="C390" s="26"/>
      <c r="D390" s="26"/>
      <c r="E390" s="26"/>
      <c r="F390" s="26"/>
      <c r="G390" s="26"/>
      <c r="H390" s="26"/>
      <c r="I390" s="26"/>
      <c r="J390" s="26"/>
      <c r="K390" s="27"/>
      <c r="L390" s="26"/>
      <c r="M390" s="26"/>
      <c r="N390" s="26"/>
      <c r="O390" s="26"/>
      <c r="P390" s="26"/>
    </row>
    <row r="391">
      <c r="A391" s="26"/>
      <c r="B391" s="26"/>
      <c r="C391" s="26"/>
      <c r="D391" s="26"/>
      <c r="E391" s="26"/>
      <c r="F391" s="26"/>
      <c r="G391" s="26"/>
      <c r="H391" s="26"/>
      <c r="I391" s="26"/>
      <c r="J391" s="26"/>
      <c r="K391" s="27"/>
      <c r="L391" s="26"/>
      <c r="M391" s="26"/>
      <c r="N391" s="26"/>
      <c r="O391" s="26"/>
      <c r="P391" s="26"/>
    </row>
    <row r="392">
      <c r="A392" s="26"/>
      <c r="B392" s="26"/>
      <c r="C392" s="26"/>
      <c r="D392" s="26"/>
      <c r="E392" s="26"/>
      <c r="F392" s="26"/>
      <c r="G392" s="26"/>
      <c r="H392" s="26"/>
      <c r="I392" s="26"/>
      <c r="J392" s="26"/>
      <c r="K392" s="27"/>
      <c r="L392" s="26"/>
      <c r="M392" s="26"/>
      <c r="N392" s="26"/>
      <c r="O392" s="26"/>
      <c r="P392" s="26"/>
    </row>
    <row r="393">
      <c r="A393" s="26"/>
      <c r="B393" s="26"/>
      <c r="C393" s="26"/>
      <c r="D393" s="26"/>
      <c r="E393" s="26"/>
      <c r="F393" s="26"/>
      <c r="G393" s="26"/>
      <c r="H393" s="26"/>
      <c r="I393" s="26"/>
      <c r="J393" s="26"/>
      <c r="K393" s="27"/>
      <c r="L393" s="26"/>
      <c r="M393" s="26"/>
      <c r="N393" s="26"/>
      <c r="O393" s="26"/>
      <c r="P393" s="26"/>
    </row>
    <row r="394">
      <c r="A394" s="26"/>
      <c r="B394" s="26"/>
      <c r="C394" s="26"/>
      <c r="D394" s="26"/>
      <c r="E394" s="26"/>
      <c r="F394" s="26"/>
      <c r="G394" s="26"/>
      <c r="H394" s="26"/>
      <c r="I394" s="26"/>
      <c r="J394" s="26"/>
      <c r="K394" s="27"/>
      <c r="L394" s="26"/>
      <c r="M394" s="26"/>
      <c r="N394" s="26"/>
      <c r="O394" s="26"/>
      <c r="P394" s="26"/>
    </row>
    <row r="395">
      <c r="A395" s="26"/>
      <c r="B395" s="26"/>
      <c r="C395" s="26"/>
      <c r="D395" s="26"/>
      <c r="E395" s="26"/>
      <c r="F395" s="26"/>
      <c r="G395" s="26"/>
      <c r="H395" s="26"/>
      <c r="I395" s="26"/>
      <c r="J395" s="26"/>
      <c r="K395" s="27"/>
      <c r="L395" s="26"/>
      <c r="M395" s="26"/>
      <c r="N395" s="26"/>
      <c r="O395" s="26"/>
      <c r="P395" s="26"/>
    </row>
    <row r="396">
      <c r="A396" s="26"/>
      <c r="B396" s="26"/>
      <c r="C396" s="26"/>
      <c r="D396" s="26"/>
      <c r="E396" s="26"/>
      <c r="F396" s="26"/>
      <c r="G396" s="26"/>
      <c r="H396" s="26"/>
      <c r="I396" s="26"/>
      <c r="J396" s="26"/>
      <c r="K396" s="27"/>
      <c r="L396" s="26"/>
      <c r="M396" s="26"/>
      <c r="N396" s="26"/>
      <c r="O396" s="26"/>
      <c r="P396" s="26"/>
    </row>
    <row r="397">
      <c r="A397" s="26"/>
      <c r="B397" s="26"/>
      <c r="C397" s="26"/>
      <c r="D397" s="26"/>
      <c r="E397" s="26"/>
      <c r="F397" s="26"/>
      <c r="G397" s="26"/>
      <c r="H397" s="26"/>
      <c r="I397" s="26"/>
      <c r="J397" s="26"/>
      <c r="K397" s="27"/>
      <c r="L397" s="26"/>
      <c r="M397" s="26"/>
      <c r="N397" s="26"/>
      <c r="O397" s="26"/>
      <c r="P397" s="26"/>
    </row>
    <row r="398">
      <c r="A398" s="26"/>
      <c r="B398" s="26"/>
      <c r="C398" s="26"/>
      <c r="D398" s="26"/>
      <c r="E398" s="26"/>
      <c r="F398" s="26"/>
      <c r="G398" s="26"/>
      <c r="H398" s="26"/>
      <c r="I398" s="26"/>
      <c r="J398" s="26"/>
      <c r="K398" s="27"/>
      <c r="L398" s="26"/>
      <c r="M398" s="26"/>
      <c r="N398" s="26"/>
      <c r="O398" s="26"/>
      <c r="P398" s="26"/>
    </row>
    <row r="399">
      <c r="A399" s="26"/>
      <c r="B399" s="26"/>
      <c r="C399" s="26"/>
      <c r="D399" s="26"/>
      <c r="E399" s="26"/>
      <c r="F399" s="26"/>
      <c r="G399" s="26"/>
      <c r="H399" s="26"/>
      <c r="I399" s="26"/>
      <c r="J399" s="26"/>
      <c r="K399" s="27"/>
      <c r="L399" s="26"/>
      <c r="M399" s="26"/>
      <c r="N399" s="26"/>
      <c r="O399" s="26"/>
      <c r="P399" s="26"/>
    </row>
    <row r="400">
      <c r="A400" s="26"/>
      <c r="B400" s="26"/>
      <c r="C400" s="26"/>
      <c r="D400" s="26"/>
      <c r="E400" s="26"/>
      <c r="F400" s="26"/>
      <c r="G400" s="26"/>
      <c r="H400" s="26"/>
      <c r="I400" s="26"/>
      <c r="J400" s="26"/>
      <c r="K400" s="27"/>
      <c r="L400" s="26"/>
      <c r="M400" s="26"/>
      <c r="N400" s="26"/>
      <c r="O400" s="26"/>
      <c r="P400" s="26"/>
    </row>
    <row r="401">
      <c r="A401" s="26"/>
      <c r="B401" s="26"/>
      <c r="C401" s="26"/>
      <c r="D401" s="26"/>
      <c r="E401" s="26"/>
      <c r="F401" s="26"/>
      <c r="G401" s="26"/>
      <c r="H401" s="26"/>
      <c r="I401" s="26"/>
      <c r="J401" s="26"/>
      <c r="K401" s="27"/>
      <c r="L401" s="26"/>
      <c r="M401" s="26"/>
      <c r="N401" s="26"/>
      <c r="O401" s="26"/>
      <c r="P401" s="26"/>
    </row>
    <row r="402">
      <c r="A402" s="26"/>
      <c r="B402" s="26"/>
      <c r="C402" s="26"/>
      <c r="D402" s="26"/>
      <c r="E402" s="26"/>
      <c r="F402" s="26"/>
      <c r="G402" s="26"/>
      <c r="H402" s="26"/>
      <c r="I402" s="26"/>
      <c r="J402" s="26"/>
      <c r="K402" s="27"/>
      <c r="L402" s="26"/>
      <c r="M402" s="26"/>
      <c r="N402" s="26"/>
      <c r="O402" s="26"/>
      <c r="P402" s="26"/>
    </row>
    <row r="403">
      <c r="A403" s="26"/>
      <c r="B403" s="26"/>
      <c r="C403" s="26"/>
      <c r="D403" s="26"/>
      <c r="E403" s="26"/>
      <c r="F403" s="26"/>
      <c r="G403" s="26"/>
      <c r="H403" s="26"/>
      <c r="I403" s="26"/>
      <c r="J403" s="26"/>
      <c r="K403" s="27"/>
      <c r="L403" s="26"/>
      <c r="M403" s="26"/>
      <c r="N403" s="26"/>
      <c r="O403" s="26"/>
      <c r="P403" s="26"/>
    </row>
    <row r="404">
      <c r="A404" s="26"/>
      <c r="B404" s="26"/>
      <c r="C404" s="26"/>
      <c r="D404" s="26"/>
      <c r="E404" s="26"/>
      <c r="F404" s="26"/>
      <c r="G404" s="26"/>
      <c r="H404" s="26"/>
      <c r="I404" s="26"/>
      <c r="J404" s="26"/>
      <c r="K404" s="27"/>
      <c r="L404" s="26"/>
      <c r="M404" s="26"/>
      <c r="N404" s="26"/>
      <c r="O404" s="26"/>
      <c r="P404" s="26"/>
    </row>
    <row r="405">
      <c r="A405" s="26"/>
      <c r="B405" s="26"/>
      <c r="C405" s="26"/>
      <c r="D405" s="26"/>
      <c r="E405" s="26"/>
      <c r="F405" s="26"/>
      <c r="G405" s="26"/>
      <c r="H405" s="26"/>
      <c r="I405" s="26"/>
      <c r="J405" s="26"/>
      <c r="K405" s="27"/>
      <c r="L405" s="26"/>
      <c r="M405" s="26"/>
      <c r="N405" s="26"/>
      <c r="O405" s="26"/>
      <c r="P405" s="26"/>
    </row>
    <row r="406">
      <c r="A406" s="26"/>
      <c r="B406" s="26"/>
      <c r="C406" s="26"/>
      <c r="D406" s="26"/>
      <c r="E406" s="26"/>
      <c r="F406" s="26"/>
      <c r="G406" s="26"/>
      <c r="H406" s="26"/>
      <c r="I406" s="26"/>
      <c r="J406" s="26"/>
      <c r="K406" s="27"/>
      <c r="L406" s="26"/>
      <c r="M406" s="26"/>
      <c r="N406" s="26"/>
      <c r="O406" s="26"/>
      <c r="P406" s="26"/>
    </row>
    <row r="407">
      <c r="A407" s="26"/>
      <c r="B407" s="26"/>
      <c r="C407" s="26"/>
      <c r="D407" s="26"/>
      <c r="E407" s="26"/>
      <c r="F407" s="26"/>
      <c r="G407" s="26"/>
      <c r="H407" s="26"/>
      <c r="I407" s="26"/>
      <c r="J407" s="26"/>
      <c r="K407" s="27"/>
      <c r="L407" s="26"/>
      <c r="M407" s="26"/>
      <c r="N407" s="26"/>
      <c r="O407" s="26"/>
      <c r="P407" s="26"/>
    </row>
    <row r="408">
      <c r="A408" s="26"/>
      <c r="B408" s="26"/>
      <c r="C408" s="26"/>
      <c r="D408" s="26"/>
      <c r="E408" s="26"/>
      <c r="F408" s="26"/>
      <c r="G408" s="26"/>
      <c r="H408" s="26"/>
      <c r="I408" s="26"/>
      <c r="J408" s="26"/>
      <c r="K408" s="27"/>
      <c r="L408" s="26"/>
      <c r="M408" s="26"/>
      <c r="N408" s="26"/>
      <c r="O408" s="26"/>
      <c r="P408" s="26"/>
    </row>
    <row r="409">
      <c r="A409" s="26"/>
      <c r="B409" s="26"/>
      <c r="C409" s="26"/>
      <c r="D409" s="26"/>
      <c r="E409" s="26"/>
      <c r="F409" s="26"/>
      <c r="G409" s="26"/>
      <c r="H409" s="26"/>
      <c r="I409" s="26"/>
      <c r="J409" s="26"/>
      <c r="K409" s="27"/>
      <c r="L409" s="26"/>
      <c r="M409" s="26"/>
      <c r="N409" s="26"/>
      <c r="O409" s="26"/>
      <c r="P409" s="26"/>
    </row>
    <row r="410">
      <c r="A410" s="26"/>
      <c r="B410" s="26"/>
      <c r="C410" s="26"/>
      <c r="D410" s="26"/>
      <c r="E410" s="26"/>
      <c r="F410" s="26"/>
      <c r="G410" s="26"/>
      <c r="H410" s="26"/>
      <c r="I410" s="26"/>
      <c r="J410" s="26"/>
      <c r="K410" s="27"/>
      <c r="L410" s="26"/>
      <c r="M410" s="26"/>
      <c r="N410" s="26"/>
      <c r="O410" s="26"/>
      <c r="P410" s="26"/>
    </row>
    <row r="411">
      <c r="A411" s="26"/>
      <c r="B411" s="26"/>
      <c r="C411" s="26"/>
      <c r="D411" s="26"/>
      <c r="E411" s="26"/>
      <c r="F411" s="26"/>
      <c r="G411" s="26"/>
      <c r="H411" s="26"/>
      <c r="I411" s="26"/>
      <c r="J411" s="26"/>
      <c r="K411" s="27"/>
      <c r="L411" s="26"/>
      <c r="M411" s="26"/>
      <c r="N411" s="26"/>
      <c r="O411" s="26"/>
      <c r="P411" s="26"/>
    </row>
    <row r="412">
      <c r="A412" s="26"/>
      <c r="B412" s="26"/>
      <c r="C412" s="26"/>
      <c r="D412" s="26"/>
      <c r="E412" s="26"/>
      <c r="F412" s="26"/>
      <c r="G412" s="26"/>
      <c r="H412" s="26"/>
      <c r="I412" s="26"/>
      <c r="J412" s="26"/>
      <c r="K412" s="27"/>
      <c r="L412" s="26"/>
      <c r="M412" s="26"/>
      <c r="N412" s="26"/>
      <c r="O412" s="26"/>
      <c r="P412" s="26"/>
    </row>
    <row r="413">
      <c r="A413" s="26"/>
      <c r="B413" s="26"/>
      <c r="C413" s="26"/>
      <c r="D413" s="26"/>
      <c r="E413" s="26"/>
      <c r="F413" s="26"/>
      <c r="G413" s="26"/>
      <c r="H413" s="26"/>
      <c r="I413" s="26"/>
      <c r="J413" s="26"/>
      <c r="K413" s="27"/>
      <c r="L413" s="26"/>
      <c r="M413" s="26"/>
      <c r="N413" s="26"/>
      <c r="O413" s="26"/>
      <c r="P413" s="26"/>
    </row>
    <row r="414">
      <c r="A414" s="26"/>
      <c r="B414" s="26"/>
      <c r="C414" s="26"/>
      <c r="D414" s="26"/>
      <c r="E414" s="26"/>
      <c r="F414" s="26"/>
      <c r="G414" s="26"/>
      <c r="H414" s="26"/>
      <c r="I414" s="26"/>
      <c r="J414" s="26"/>
      <c r="K414" s="27"/>
      <c r="L414" s="26"/>
      <c r="M414" s="26"/>
      <c r="N414" s="26"/>
      <c r="O414" s="26"/>
      <c r="P414" s="26"/>
    </row>
    <row r="415">
      <c r="A415" s="26"/>
      <c r="B415" s="26"/>
      <c r="C415" s="26"/>
      <c r="D415" s="26"/>
      <c r="E415" s="26"/>
      <c r="F415" s="26"/>
      <c r="G415" s="26"/>
      <c r="H415" s="26"/>
      <c r="I415" s="26"/>
      <c r="J415" s="26"/>
      <c r="K415" s="27"/>
      <c r="L415" s="26"/>
      <c r="M415" s="26"/>
      <c r="N415" s="26"/>
      <c r="O415" s="26"/>
      <c r="P415" s="26"/>
    </row>
    <row r="416">
      <c r="A416" s="26"/>
      <c r="B416" s="26"/>
      <c r="C416" s="26"/>
      <c r="D416" s="26"/>
      <c r="E416" s="26"/>
      <c r="F416" s="26"/>
      <c r="G416" s="26"/>
      <c r="H416" s="26"/>
      <c r="I416" s="26"/>
      <c r="J416" s="26"/>
      <c r="K416" s="27"/>
      <c r="L416" s="26"/>
      <c r="M416" s="26"/>
      <c r="N416" s="26"/>
      <c r="O416" s="26"/>
      <c r="P416" s="26"/>
    </row>
    <row r="417">
      <c r="A417" s="26"/>
      <c r="B417" s="26"/>
      <c r="C417" s="26"/>
      <c r="D417" s="26"/>
      <c r="E417" s="26"/>
      <c r="F417" s="26"/>
      <c r="G417" s="26"/>
      <c r="H417" s="26"/>
      <c r="I417" s="26"/>
      <c r="J417" s="26"/>
      <c r="K417" s="27"/>
      <c r="L417" s="26"/>
      <c r="M417" s="26"/>
      <c r="N417" s="26"/>
      <c r="O417" s="26"/>
      <c r="P417" s="26"/>
    </row>
    <row r="418">
      <c r="A418" s="26"/>
      <c r="B418" s="26"/>
      <c r="C418" s="26"/>
      <c r="D418" s="26"/>
      <c r="E418" s="26"/>
      <c r="F418" s="26"/>
      <c r="G418" s="26"/>
      <c r="H418" s="26"/>
      <c r="I418" s="26"/>
      <c r="J418" s="26"/>
      <c r="K418" s="27"/>
      <c r="L418" s="26"/>
      <c r="M418" s="26"/>
      <c r="N418" s="26"/>
      <c r="O418" s="26"/>
      <c r="P418" s="26"/>
    </row>
    <row r="419">
      <c r="A419" s="26"/>
      <c r="B419" s="26"/>
      <c r="C419" s="26"/>
      <c r="D419" s="26"/>
      <c r="E419" s="26"/>
      <c r="F419" s="26"/>
      <c r="G419" s="26"/>
      <c r="H419" s="26"/>
      <c r="I419" s="26"/>
      <c r="J419" s="26"/>
      <c r="K419" s="27"/>
      <c r="L419" s="26"/>
      <c r="M419" s="26"/>
      <c r="N419" s="26"/>
      <c r="O419" s="26"/>
      <c r="P419" s="26"/>
    </row>
    <row r="420">
      <c r="A420" s="26"/>
      <c r="B420" s="26"/>
      <c r="C420" s="26"/>
      <c r="D420" s="26"/>
      <c r="E420" s="26"/>
      <c r="F420" s="26"/>
      <c r="G420" s="26"/>
      <c r="H420" s="26"/>
      <c r="I420" s="26"/>
      <c r="J420" s="26"/>
      <c r="K420" s="27"/>
      <c r="L420" s="26"/>
      <c r="M420" s="26"/>
      <c r="N420" s="26"/>
      <c r="O420" s="26"/>
      <c r="P420" s="26"/>
    </row>
    <row r="421">
      <c r="A421" s="26"/>
      <c r="B421" s="26"/>
      <c r="C421" s="26"/>
      <c r="D421" s="26"/>
      <c r="E421" s="26"/>
      <c r="F421" s="26"/>
      <c r="G421" s="26"/>
      <c r="H421" s="26"/>
      <c r="I421" s="26"/>
      <c r="J421" s="26"/>
      <c r="K421" s="27"/>
      <c r="L421" s="26"/>
      <c r="M421" s="26"/>
      <c r="N421" s="26"/>
      <c r="O421" s="26"/>
      <c r="P421" s="26"/>
    </row>
    <row r="422">
      <c r="A422" s="26"/>
      <c r="B422" s="26"/>
      <c r="C422" s="26"/>
      <c r="D422" s="26"/>
      <c r="E422" s="26"/>
      <c r="F422" s="26"/>
      <c r="G422" s="26"/>
      <c r="H422" s="26"/>
      <c r="I422" s="26"/>
      <c r="J422" s="26"/>
      <c r="K422" s="27"/>
      <c r="L422" s="26"/>
      <c r="M422" s="26"/>
      <c r="N422" s="26"/>
      <c r="O422" s="26"/>
      <c r="P422" s="26"/>
    </row>
    <row r="423">
      <c r="A423" s="26"/>
      <c r="B423" s="26"/>
      <c r="C423" s="26"/>
      <c r="D423" s="26"/>
      <c r="E423" s="26"/>
      <c r="F423" s="26"/>
      <c r="G423" s="26"/>
      <c r="H423" s="26"/>
      <c r="I423" s="26"/>
      <c r="J423" s="26"/>
      <c r="K423" s="27"/>
      <c r="L423" s="26"/>
      <c r="M423" s="26"/>
      <c r="N423" s="26"/>
      <c r="O423" s="26"/>
      <c r="P423" s="26"/>
    </row>
    <row r="424">
      <c r="A424" s="26"/>
      <c r="B424" s="26"/>
      <c r="C424" s="26"/>
      <c r="D424" s="26"/>
      <c r="E424" s="26"/>
      <c r="F424" s="26"/>
      <c r="G424" s="26"/>
      <c r="H424" s="26"/>
      <c r="I424" s="26"/>
      <c r="J424" s="26"/>
      <c r="K424" s="27"/>
      <c r="L424" s="26"/>
      <c r="M424" s="26"/>
      <c r="N424" s="26"/>
      <c r="O424" s="26"/>
      <c r="P424" s="26"/>
    </row>
    <row r="425">
      <c r="A425" s="26"/>
      <c r="B425" s="26"/>
      <c r="C425" s="26"/>
      <c r="D425" s="26"/>
      <c r="E425" s="26"/>
      <c r="F425" s="26"/>
      <c r="G425" s="26"/>
      <c r="H425" s="26"/>
      <c r="I425" s="26"/>
      <c r="J425" s="26"/>
      <c r="K425" s="27"/>
      <c r="L425" s="26"/>
      <c r="M425" s="26"/>
      <c r="N425" s="26"/>
      <c r="O425" s="26"/>
      <c r="P425" s="26"/>
    </row>
    <row r="426">
      <c r="A426" s="26"/>
      <c r="B426" s="26"/>
      <c r="C426" s="26"/>
      <c r="D426" s="26"/>
      <c r="E426" s="26"/>
      <c r="F426" s="26"/>
      <c r="G426" s="26"/>
      <c r="H426" s="26"/>
      <c r="I426" s="26"/>
      <c r="J426" s="26"/>
      <c r="K426" s="27"/>
      <c r="L426" s="26"/>
      <c r="M426" s="26"/>
      <c r="N426" s="26"/>
      <c r="O426" s="26"/>
      <c r="P426" s="26"/>
    </row>
    <row r="427">
      <c r="A427" s="26"/>
      <c r="B427" s="26"/>
      <c r="C427" s="26"/>
      <c r="D427" s="26"/>
      <c r="E427" s="26"/>
      <c r="F427" s="26"/>
      <c r="G427" s="26"/>
      <c r="H427" s="26"/>
      <c r="I427" s="26"/>
      <c r="J427" s="26"/>
      <c r="K427" s="27"/>
      <c r="L427" s="26"/>
      <c r="M427" s="26"/>
      <c r="N427" s="26"/>
      <c r="O427" s="26"/>
      <c r="P427" s="26"/>
    </row>
    <row r="428">
      <c r="A428" s="26"/>
      <c r="B428" s="26"/>
      <c r="C428" s="26"/>
      <c r="D428" s="26"/>
      <c r="E428" s="26"/>
      <c r="F428" s="26"/>
      <c r="G428" s="26"/>
      <c r="H428" s="26"/>
      <c r="I428" s="26"/>
      <c r="J428" s="26"/>
      <c r="K428" s="27"/>
      <c r="L428" s="26"/>
      <c r="M428" s="26"/>
      <c r="N428" s="26"/>
      <c r="O428" s="26"/>
      <c r="P428" s="26"/>
    </row>
    <row r="429">
      <c r="A429" s="26"/>
      <c r="B429" s="26"/>
      <c r="C429" s="26"/>
      <c r="D429" s="26"/>
      <c r="E429" s="26"/>
      <c r="F429" s="26"/>
      <c r="G429" s="26"/>
      <c r="H429" s="26"/>
      <c r="I429" s="26"/>
      <c r="J429" s="26"/>
      <c r="K429" s="27"/>
      <c r="L429" s="26"/>
      <c r="M429" s="26"/>
      <c r="N429" s="26"/>
      <c r="O429" s="26"/>
      <c r="P429" s="26"/>
    </row>
    <row r="430">
      <c r="A430" s="26"/>
      <c r="B430" s="26"/>
      <c r="C430" s="26"/>
      <c r="D430" s="26"/>
      <c r="E430" s="26"/>
      <c r="F430" s="26"/>
      <c r="G430" s="26"/>
      <c r="H430" s="26"/>
      <c r="I430" s="26"/>
      <c r="J430" s="26"/>
      <c r="K430" s="27"/>
      <c r="L430" s="26"/>
      <c r="M430" s="26"/>
      <c r="N430" s="26"/>
      <c r="O430" s="26"/>
      <c r="P430" s="26"/>
    </row>
    <row r="431">
      <c r="A431" s="26"/>
      <c r="B431" s="26"/>
      <c r="C431" s="26"/>
      <c r="D431" s="26"/>
      <c r="E431" s="26"/>
      <c r="F431" s="26"/>
      <c r="G431" s="26"/>
      <c r="H431" s="26"/>
      <c r="I431" s="26"/>
      <c r="J431" s="26"/>
      <c r="K431" s="27"/>
      <c r="L431" s="26"/>
      <c r="M431" s="26"/>
      <c r="N431" s="26"/>
      <c r="O431" s="26"/>
      <c r="P431" s="26"/>
    </row>
    <row r="432">
      <c r="A432" s="26"/>
      <c r="B432" s="26"/>
      <c r="C432" s="26"/>
      <c r="D432" s="26"/>
      <c r="E432" s="26"/>
      <c r="F432" s="26"/>
      <c r="G432" s="26"/>
      <c r="H432" s="26"/>
      <c r="I432" s="26"/>
      <c r="J432" s="26"/>
      <c r="K432" s="27"/>
      <c r="L432" s="26"/>
      <c r="M432" s="26"/>
      <c r="N432" s="26"/>
      <c r="O432" s="26"/>
      <c r="P432" s="26"/>
    </row>
    <row r="433">
      <c r="A433" s="26"/>
      <c r="B433" s="26"/>
      <c r="C433" s="26"/>
      <c r="D433" s="26"/>
      <c r="E433" s="26"/>
      <c r="F433" s="26"/>
      <c r="G433" s="26"/>
      <c r="H433" s="26"/>
      <c r="I433" s="26"/>
      <c r="J433" s="26"/>
      <c r="K433" s="27"/>
      <c r="L433" s="26"/>
      <c r="M433" s="26"/>
      <c r="N433" s="26"/>
      <c r="O433" s="26"/>
      <c r="P433" s="26"/>
    </row>
    <row r="434">
      <c r="A434" s="26"/>
      <c r="B434" s="26"/>
      <c r="C434" s="26"/>
      <c r="D434" s="26"/>
      <c r="E434" s="26"/>
      <c r="F434" s="26"/>
      <c r="G434" s="26"/>
      <c r="H434" s="26"/>
      <c r="I434" s="26"/>
      <c r="J434" s="26"/>
      <c r="K434" s="27"/>
      <c r="L434" s="26"/>
      <c r="M434" s="26"/>
      <c r="N434" s="26"/>
      <c r="O434" s="26"/>
      <c r="P434" s="26"/>
    </row>
    <row r="435">
      <c r="A435" s="26"/>
      <c r="B435" s="26"/>
      <c r="C435" s="26"/>
      <c r="D435" s="26"/>
      <c r="E435" s="26"/>
      <c r="F435" s="26"/>
      <c r="G435" s="26"/>
      <c r="H435" s="26"/>
      <c r="I435" s="26"/>
      <c r="J435" s="26"/>
      <c r="K435" s="27"/>
      <c r="L435" s="26"/>
      <c r="M435" s="26"/>
      <c r="N435" s="26"/>
      <c r="O435" s="26"/>
      <c r="P435" s="26"/>
    </row>
    <row r="436">
      <c r="A436" s="26"/>
      <c r="B436" s="26"/>
      <c r="C436" s="26"/>
      <c r="D436" s="26"/>
      <c r="E436" s="26"/>
      <c r="F436" s="26"/>
      <c r="G436" s="26"/>
      <c r="H436" s="26"/>
      <c r="I436" s="26"/>
      <c r="J436" s="26"/>
      <c r="K436" s="27"/>
      <c r="L436" s="26"/>
      <c r="M436" s="26"/>
      <c r="N436" s="26"/>
      <c r="O436" s="26"/>
      <c r="P436" s="26"/>
    </row>
    <row r="437">
      <c r="A437" s="26"/>
      <c r="B437" s="26"/>
      <c r="C437" s="26"/>
      <c r="D437" s="26"/>
      <c r="E437" s="26"/>
      <c r="F437" s="26"/>
      <c r="G437" s="26"/>
      <c r="H437" s="26"/>
      <c r="I437" s="26"/>
      <c r="J437" s="26"/>
      <c r="K437" s="27"/>
      <c r="L437" s="26"/>
      <c r="M437" s="26"/>
      <c r="N437" s="26"/>
      <c r="O437" s="26"/>
      <c r="P437" s="26"/>
    </row>
    <row r="438">
      <c r="A438" s="26"/>
      <c r="B438" s="26"/>
      <c r="C438" s="26"/>
      <c r="D438" s="26"/>
      <c r="E438" s="26"/>
      <c r="F438" s="26"/>
      <c r="G438" s="26"/>
      <c r="H438" s="26"/>
      <c r="I438" s="26"/>
      <c r="J438" s="26"/>
      <c r="K438" s="27"/>
      <c r="L438" s="26"/>
      <c r="M438" s="26"/>
      <c r="N438" s="26"/>
      <c r="O438" s="26"/>
      <c r="P438" s="26"/>
    </row>
    <row r="439">
      <c r="A439" s="26"/>
      <c r="B439" s="26"/>
      <c r="C439" s="26"/>
      <c r="D439" s="26"/>
      <c r="E439" s="26"/>
      <c r="F439" s="26"/>
      <c r="G439" s="26"/>
      <c r="H439" s="26"/>
      <c r="I439" s="26"/>
      <c r="J439" s="26"/>
      <c r="K439" s="27"/>
      <c r="L439" s="26"/>
      <c r="M439" s="26"/>
      <c r="N439" s="26"/>
      <c r="O439" s="26"/>
      <c r="P439" s="26"/>
    </row>
    <row r="440">
      <c r="A440" s="26"/>
      <c r="B440" s="26"/>
      <c r="C440" s="26"/>
      <c r="D440" s="26"/>
      <c r="E440" s="26"/>
      <c r="F440" s="26"/>
      <c r="G440" s="26"/>
      <c r="H440" s="26"/>
      <c r="I440" s="26"/>
      <c r="J440" s="26"/>
      <c r="K440" s="27"/>
      <c r="L440" s="26"/>
      <c r="M440" s="26"/>
      <c r="N440" s="26"/>
      <c r="O440" s="26"/>
      <c r="P440" s="26"/>
    </row>
    <row r="441">
      <c r="A441" s="26"/>
      <c r="B441" s="26"/>
      <c r="C441" s="26"/>
      <c r="D441" s="26"/>
      <c r="E441" s="26"/>
      <c r="F441" s="26"/>
      <c r="G441" s="26"/>
      <c r="H441" s="26"/>
      <c r="I441" s="26"/>
      <c r="J441" s="26"/>
      <c r="K441" s="27"/>
      <c r="L441" s="26"/>
      <c r="M441" s="26"/>
      <c r="N441" s="26"/>
      <c r="O441" s="26"/>
      <c r="P441" s="26"/>
    </row>
    <row r="442">
      <c r="A442" s="26"/>
      <c r="B442" s="26"/>
      <c r="C442" s="26"/>
      <c r="D442" s="26"/>
      <c r="E442" s="26"/>
      <c r="F442" s="26"/>
      <c r="G442" s="26"/>
      <c r="H442" s="26"/>
      <c r="I442" s="26"/>
      <c r="J442" s="26"/>
      <c r="K442" s="27"/>
      <c r="L442" s="26"/>
      <c r="M442" s="26"/>
      <c r="N442" s="26"/>
      <c r="O442" s="26"/>
      <c r="P442" s="26"/>
    </row>
    <row r="443">
      <c r="A443" s="26"/>
      <c r="B443" s="26"/>
      <c r="C443" s="26"/>
      <c r="D443" s="26"/>
      <c r="E443" s="26"/>
      <c r="F443" s="26"/>
      <c r="G443" s="26"/>
      <c r="H443" s="26"/>
      <c r="I443" s="26"/>
      <c r="J443" s="26"/>
      <c r="K443" s="27"/>
      <c r="L443" s="26"/>
      <c r="M443" s="26"/>
      <c r="N443" s="26"/>
      <c r="O443" s="26"/>
      <c r="P443" s="26"/>
    </row>
    <row r="444">
      <c r="A444" s="26"/>
      <c r="B444" s="26"/>
      <c r="C444" s="26"/>
      <c r="D444" s="26"/>
      <c r="E444" s="26"/>
      <c r="F444" s="26"/>
      <c r="G444" s="26"/>
      <c r="H444" s="26"/>
      <c r="I444" s="26"/>
      <c r="J444" s="26"/>
      <c r="K444" s="27"/>
      <c r="L444" s="26"/>
      <c r="M444" s="26"/>
      <c r="N444" s="26"/>
      <c r="O444" s="26"/>
      <c r="P444" s="26"/>
    </row>
    <row r="445">
      <c r="A445" s="26"/>
      <c r="B445" s="26"/>
      <c r="C445" s="26"/>
      <c r="D445" s="26"/>
      <c r="E445" s="26"/>
      <c r="F445" s="26"/>
      <c r="G445" s="26"/>
      <c r="H445" s="26"/>
      <c r="I445" s="26"/>
      <c r="J445" s="26"/>
      <c r="K445" s="27"/>
      <c r="L445" s="26"/>
      <c r="M445" s="26"/>
      <c r="N445" s="26"/>
      <c r="O445" s="26"/>
      <c r="P445" s="26"/>
    </row>
    <row r="446">
      <c r="A446" s="26"/>
      <c r="B446" s="26"/>
      <c r="C446" s="26"/>
      <c r="D446" s="26"/>
      <c r="E446" s="26"/>
      <c r="F446" s="26"/>
      <c r="G446" s="26"/>
      <c r="H446" s="26"/>
      <c r="I446" s="26"/>
      <c r="J446" s="26"/>
      <c r="K446" s="27"/>
      <c r="L446" s="26"/>
      <c r="M446" s="26"/>
      <c r="N446" s="26"/>
      <c r="O446" s="26"/>
      <c r="P446" s="26"/>
    </row>
    <row r="447">
      <c r="A447" s="26"/>
      <c r="B447" s="26"/>
      <c r="C447" s="26"/>
      <c r="D447" s="26"/>
      <c r="E447" s="26"/>
      <c r="F447" s="26"/>
      <c r="G447" s="26"/>
      <c r="H447" s="26"/>
      <c r="I447" s="26"/>
      <c r="J447" s="26"/>
      <c r="K447" s="27"/>
      <c r="L447" s="26"/>
      <c r="M447" s="26"/>
      <c r="N447" s="26"/>
      <c r="O447" s="26"/>
      <c r="P447" s="26"/>
    </row>
    <row r="448">
      <c r="A448" s="26"/>
      <c r="B448" s="26"/>
      <c r="C448" s="26"/>
      <c r="D448" s="26"/>
      <c r="E448" s="26"/>
      <c r="F448" s="26"/>
      <c r="G448" s="26"/>
      <c r="H448" s="26"/>
      <c r="I448" s="26"/>
      <c r="J448" s="26"/>
      <c r="K448" s="27"/>
      <c r="L448" s="26"/>
      <c r="M448" s="26"/>
      <c r="N448" s="26"/>
      <c r="O448" s="26"/>
      <c r="P448" s="26"/>
    </row>
    <row r="449">
      <c r="A449" s="26"/>
      <c r="B449" s="26"/>
      <c r="C449" s="26"/>
      <c r="D449" s="26"/>
      <c r="E449" s="26"/>
      <c r="F449" s="26"/>
      <c r="G449" s="26"/>
      <c r="H449" s="26"/>
      <c r="I449" s="26"/>
      <c r="J449" s="26"/>
      <c r="K449" s="27"/>
      <c r="L449" s="26"/>
      <c r="M449" s="26"/>
      <c r="N449" s="26"/>
      <c r="O449" s="26"/>
      <c r="P449" s="26"/>
    </row>
    <row r="450">
      <c r="A450" s="26"/>
      <c r="B450" s="26"/>
      <c r="C450" s="26"/>
      <c r="D450" s="26"/>
      <c r="E450" s="26"/>
      <c r="F450" s="26"/>
      <c r="G450" s="26"/>
      <c r="H450" s="26"/>
      <c r="I450" s="26"/>
      <c r="J450" s="26"/>
      <c r="K450" s="27"/>
      <c r="L450" s="26"/>
      <c r="M450" s="26"/>
      <c r="N450" s="26"/>
      <c r="O450" s="26"/>
      <c r="P450" s="26"/>
    </row>
    <row r="451">
      <c r="A451" s="26"/>
      <c r="B451" s="26"/>
      <c r="C451" s="26"/>
      <c r="D451" s="26"/>
      <c r="E451" s="26"/>
      <c r="F451" s="26"/>
      <c r="G451" s="26"/>
      <c r="H451" s="26"/>
      <c r="I451" s="26"/>
      <c r="J451" s="26"/>
      <c r="K451" s="27"/>
      <c r="L451" s="26"/>
      <c r="M451" s="26"/>
      <c r="N451" s="26"/>
      <c r="O451" s="26"/>
      <c r="P451" s="26"/>
    </row>
    <row r="452">
      <c r="A452" s="26"/>
      <c r="B452" s="26"/>
      <c r="C452" s="26"/>
      <c r="D452" s="26"/>
      <c r="E452" s="26"/>
      <c r="F452" s="26"/>
      <c r="G452" s="26"/>
      <c r="H452" s="26"/>
      <c r="I452" s="26"/>
      <c r="J452" s="26"/>
      <c r="K452" s="27"/>
      <c r="L452" s="26"/>
      <c r="M452" s="26"/>
      <c r="N452" s="26"/>
      <c r="O452" s="26"/>
      <c r="P452" s="26"/>
    </row>
    <row r="453">
      <c r="A453" s="26"/>
      <c r="B453" s="26"/>
      <c r="C453" s="26"/>
      <c r="D453" s="26"/>
      <c r="E453" s="26"/>
      <c r="F453" s="26"/>
      <c r="G453" s="26"/>
      <c r="H453" s="26"/>
      <c r="I453" s="26"/>
      <c r="J453" s="26"/>
      <c r="K453" s="27"/>
      <c r="L453" s="26"/>
      <c r="M453" s="26"/>
      <c r="N453" s="26"/>
      <c r="O453" s="26"/>
      <c r="P453" s="26"/>
    </row>
    <row r="454">
      <c r="A454" s="26"/>
      <c r="B454" s="26"/>
      <c r="C454" s="26"/>
      <c r="D454" s="26"/>
      <c r="E454" s="26"/>
      <c r="F454" s="26"/>
      <c r="G454" s="26"/>
      <c r="H454" s="26"/>
      <c r="I454" s="26"/>
      <c r="J454" s="26"/>
      <c r="K454" s="27"/>
      <c r="L454" s="26"/>
      <c r="M454" s="26"/>
      <c r="N454" s="26"/>
      <c r="O454" s="26"/>
      <c r="P454" s="26"/>
    </row>
    <row r="455">
      <c r="A455" s="26"/>
      <c r="B455" s="26"/>
      <c r="C455" s="26"/>
      <c r="D455" s="26"/>
      <c r="E455" s="26"/>
      <c r="F455" s="26"/>
      <c r="G455" s="26"/>
      <c r="H455" s="26"/>
      <c r="I455" s="26"/>
      <c r="J455" s="26"/>
      <c r="K455" s="27"/>
      <c r="L455" s="26"/>
      <c r="M455" s="26"/>
      <c r="N455" s="26"/>
      <c r="O455" s="26"/>
      <c r="P455" s="26"/>
    </row>
    <row r="456">
      <c r="A456" s="26"/>
      <c r="B456" s="26"/>
      <c r="C456" s="26"/>
      <c r="D456" s="26"/>
      <c r="E456" s="26"/>
      <c r="F456" s="26"/>
      <c r="G456" s="26"/>
      <c r="H456" s="26"/>
      <c r="I456" s="26"/>
      <c r="J456" s="26"/>
      <c r="K456" s="27"/>
      <c r="L456" s="26"/>
      <c r="M456" s="26"/>
      <c r="N456" s="26"/>
      <c r="O456" s="26"/>
      <c r="P456" s="26"/>
    </row>
    <row r="457">
      <c r="A457" s="26"/>
      <c r="B457" s="26"/>
      <c r="C457" s="26"/>
      <c r="D457" s="26"/>
      <c r="E457" s="26"/>
      <c r="F457" s="26"/>
      <c r="G457" s="26"/>
      <c r="H457" s="26"/>
      <c r="I457" s="26"/>
      <c r="J457" s="26"/>
      <c r="K457" s="27"/>
      <c r="L457" s="26"/>
      <c r="M457" s="26"/>
      <c r="N457" s="26"/>
      <c r="O457" s="26"/>
      <c r="P457" s="26"/>
    </row>
    <row r="458">
      <c r="A458" s="26"/>
      <c r="B458" s="26"/>
      <c r="C458" s="26"/>
      <c r="D458" s="26"/>
      <c r="E458" s="26"/>
      <c r="F458" s="26"/>
      <c r="G458" s="26"/>
      <c r="H458" s="26"/>
      <c r="I458" s="26"/>
      <c r="J458" s="26"/>
      <c r="K458" s="27"/>
      <c r="L458" s="26"/>
      <c r="M458" s="26"/>
      <c r="N458" s="26"/>
      <c r="O458" s="26"/>
      <c r="P458" s="26"/>
    </row>
    <row r="459">
      <c r="A459" s="26"/>
      <c r="B459" s="26"/>
      <c r="C459" s="26"/>
      <c r="D459" s="26"/>
      <c r="E459" s="26"/>
      <c r="F459" s="26"/>
      <c r="G459" s="26"/>
      <c r="H459" s="26"/>
      <c r="I459" s="26"/>
      <c r="J459" s="26"/>
      <c r="K459" s="27"/>
      <c r="L459" s="26"/>
      <c r="M459" s="26"/>
      <c r="N459" s="26"/>
      <c r="O459" s="26"/>
      <c r="P459" s="26"/>
    </row>
    <row r="460">
      <c r="A460" s="26"/>
      <c r="B460" s="26"/>
      <c r="C460" s="26"/>
      <c r="D460" s="26"/>
      <c r="E460" s="26"/>
      <c r="F460" s="26"/>
      <c r="G460" s="26"/>
      <c r="H460" s="26"/>
      <c r="I460" s="26"/>
      <c r="J460" s="26"/>
      <c r="K460" s="27"/>
      <c r="L460" s="26"/>
      <c r="M460" s="26"/>
      <c r="N460" s="26"/>
      <c r="O460" s="26"/>
      <c r="P460" s="26"/>
    </row>
    <row r="461">
      <c r="A461" s="26"/>
      <c r="B461" s="26"/>
      <c r="C461" s="26"/>
      <c r="D461" s="26"/>
      <c r="E461" s="26"/>
      <c r="F461" s="26"/>
      <c r="G461" s="26"/>
      <c r="H461" s="26"/>
      <c r="I461" s="26"/>
      <c r="J461" s="26"/>
      <c r="K461" s="27"/>
      <c r="L461" s="26"/>
      <c r="M461" s="26"/>
      <c r="N461" s="26"/>
      <c r="O461" s="26"/>
      <c r="P461" s="26"/>
    </row>
    <row r="462">
      <c r="A462" s="26"/>
      <c r="B462" s="26"/>
      <c r="C462" s="26"/>
      <c r="D462" s="26"/>
      <c r="E462" s="26"/>
      <c r="F462" s="26"/>
      <c r="G462" s="26"/>
      <c r="H462" s="26"/>
      <c r="I462" s="26"/>
      <c r="J462" s="26"/>
      <c r="K462" s="27"/>
      <c r="L462" s="26"/>
      <c r="M462" s="26"/>
      <c r="N462" s="26"/>
      <c r="O462" s="26"/>
      <c r="P462" s="26"/>
    </row>
    <row r="463">
      <c r="A463" s="26"/>
      <c r="B463" s="26"/>
      <c r="C463" s="26"/>
      <c r="D463" s="26"/>
      <c r="E463" s="26"/>
      <c r="F463" s="26"/>
      <c r="G463" s="26"/>
      <c r="H463" s="26"/>
      <c r="I463" s="26"/>
      <c r="J463" s="26"/>
      <c r="K463" s="27"/>
      <c r="L463" s="26"/>
      <c r="M463" s="26"/>
      <c r="N463" s="26"/>
      <c r="O463" s="26"/>
      <c r="P463" s="26"/>
    </row>
    <row r="464">
      <c r="A464" s="26"/>
      <c r="B464" s="26"/>
      <c r="C464" s="26"/>
      <c r="D464" s="26"/>
      <c r="E464" s="26"/>
      <c r="F464" s="26"/>
      <c r="G464" s="26"/>
      <c r="H464" s="26"/>
      <c r="I464" s="26"/>
      <c r="J464" s="26"/>
      <c r="K464" s="27"/>
      <c r="L464" s="26"/>
      <c r="M464" s="26"/>
      <c r="N464" s="26"/>
      <c r="O464" s="26"/>
      <c r="P464" s="26"/>
    </row>
    <row r="465">
      <c r="A465" s="26"/>
      <c r="B465" s="26"/>
      <c r="C465" s="26"/>
      <c r="D465" s="26"/>
      <c r="E465" s="26"/>
      <c r="F465" s="26"/>
      <c r="G465" s="26"/>
      <c r="H465" s="26"/>
      <c r="I465" s="26"/>
      <c r="J465" s="26"/>
      <c r="K465" s="27"/>
      <c r="L465" s="26"/>
      <c r="M465" s="26"/>
      <c r="N465" s="26"/>
      <c r="O465" s="26"/>
      <c r="P465" s="26"/>
    </row>
    <row r="466">
      <c r="A466" s="26"/>
      <c r="B466" s="26"/>
      <c r="C466" s="26"/>
      <c r="D466" s="26"/>
      <c r="E466" s="26"/>
      <c r="F466" s="26"/>
      <c r="G466" s="26"/>
      <c r="H466" s="26"/>
      <c r="I466" s="26"/>
      <c r="J466" s="26"/>
      <c r="K466" s="27"/>
      <c r="L466" s="26"/>
      <c r="M466" s="26"/>
      <c r="N466" s="26"/>
      <c r="O466" s="26"/>
      <c r="P466" s="26"/>
    </row>
    <row r="467">
      <c r="A467" s="26"/>
      <c r="B467" s="26"/>
      <c r="C467" s="26"/>
      <c r="D467" s="26"/>
      <c r="E467" s="26"/>
      <c r="F467" s="26"/>
      <c r="G467" s="26"/>
      <c r="H467" s="26"/>
      <c r="I467" s="26"/>
      <c r="J467" s="26"/>
      <c r="K467" s="27"/>
      <c r="L467" s="26"/>
      <c r="M467" s="26"/>
      <c r="N467" s="26"/>
      <c r="O467" s="26"/>
      <c r="P467" s="26"/>
    </row>
    <row r="468">
      <c r="A468" s="26"/>
      <c r="B468" s="26"/>
      <c r="C468" s="26"/>
      <c r="D468" s="26"/>
      <c r="E468" s="26"/>
      <c r="F468" s="26"/>
      <c r="G468" s="26"/>
      <c r="H468" s="26"/>
      <c r="I468" s="26"/>
      <c r="J468" s="26"/>
      <c r="K468" s="27"/>
      <c r="L468" s="26"/>
      <c r="M468" s="26"/>
      <c r="N468" s="26"/>
      <c r="O468" s="26"/>
      <c r="P468" s="26"/>
    </row>
    <row r="469">
      <c r="A469" s="26"/>
      <c r="B469" s="26"/>
      <c r="C469" s="26"/>
      <c r="D469" s="26"/>
      <c r="E469" s="26"/>
      <c r="F469" s="26"/>
      <c r="G469" s="26"/>
      <c r="H469" s="26"/>
      <c r="I469" s="26"/>
      <c r="J469" s="26"/>
      <c r="K469" s="27"/>
      <c r="L469" s="26"/>
      <c r="M469" s="26"/>
      <c r="N469" s="26"/>
      <c r="O469" s="26"/>
      <c r="P469" s="26"/>
    </row>
    <row r="470">
      <c r="A470" s="26"/>
      <c r="B470" s="26"/>
      <c r="C470" s="26"/>
      <c r="D470" s="26"/>
      <c r="E470" s="26"/>
      <c r="F470" s="26"/>
      <c r="G470" s="26"/>
      <c r="H470" s="26"/>
      <c r="I470" s="26"/>
      <c r="J470" s="26"/>
      <c r="K470" s="27"/>
      <c r="L470" s="26"/>
      <c r="M470" s="26"/>
      <c r="N470" s="26"/>
      <c r="O470" s="26"/>
      <c r="P470" s="26"/>
    </row>
    <row r="471">
      <c r="A471" s="26"/>
      <c r="B471" s="26"/>
      <c r="C471" s="26"/>
      <c r="D471" s="26"/>
      <c r="E471" s="26"/>
      <c r="F471" s="26"/>
      <c r="G471" s="26"/>
      <c r="H471" s="26"/>
      <c r="I471" s="26"/>
      <c r="J471" s="26"/>
      <c r="K471" s="27"/>
      <c r="L471" s="26"/>
      <c r="M471" s="26"/>
      <c r="N471" s="26"/>
      <c r="O471" s="26"/>
      <c r="P471" s="26"/>
    </row>
    <row r="472">
      <c r="A472" s="26"/>
      <c r="B472" s="26"/>
      <c r="C472" s="26"/>
      <c r="D472" s="26"/>
      <c r="E472" s="26"/>
      <c r="F472" s="26"/>
      <c r="G472" s="26"/>
      <c r="H472" s="26"/>
      <c r="I472" s="26"/>
      <c r="J472" s="26"/>
      <c r="K472" s="27"/>
      <c r="L472" s="26"/>
      <c r="M472" s="26"/>
      <c r="N472" s="26"/>
      <c r="O472" s="26"/>
      <c r="P472" s="26"/>
    </row>
    <row r="473">
      <c r="A473" s="26"/>
      <c r="B473" s="26"/>
      <c r="C473" s="26"/>
      <c r="D473" s="26"/>
      <c r="E473" s="26"/>
      <c r="F473" s="26"/>
      <c r="G473" s="26"/>
      <c r="H473" s="26"/>
      <c r="I473" s="26"/>
      <c r="J473" s="26"/>
      <c r="K473" s="27"/>
      <c r="L473" s="26"/>
      <c r="M473" s="26"/>
      <c r="N473" s="26"/>
      <c r="O473" s="26"/>
      <c r="P473" s="26"/>
    </row>
    <row r="474">
      <c r="A474" s="26"/>
      <c r="B474" s="26"/>
      <c r="C474" s="26"/>
      <c r="D474" s="26"/>
      <c r="E474" s="26"/>
      <c r="F474" s="26"/>
      <c r="G474" s="26"/>
      <c r="H474" s="26"/>
      <c r="I474" s="26"/>
      <c r="J474" s="26"/>
      <c r="K474" s="27"/>
      <c r="L474" s="26"/>
      <c r="M474" s="26"/>
      <c r="N474" s="26"/>
      <c r="O474" s="26"/>
      <c r="P474" s="26"/>
    </row>
    <row r="475">
      <c r="A475" s="26"/>
      <c r="B475" s="26"/>
      <c r="C475" s="26"/>
      <c r="D475" s="26"/>
      <c r="E475" s="26"/>
      <c r="F475" s="26"/>
      <c r="G475" s="26"/>
      <c r="H475" s="26"/>
      <c r="I475" s="26"/>
      <c r="J475" s="26"/>
      <c r="K475" s="27"/>
      <c r="L475" s="26"/>
      <c r="M475" s="26"/>
      <c r="N475" s="26"/>
      <c r="O475" s="26"/>
      <c r="P475" s="26"/>
    </row>
    <row r="476">
      <c r="A476" s="26"/>
      <c r="B476" s="26"/>
      <c r="C476" s="26"/>
      <c r="D476" s="26"/>
      <c r="E476" s="26"/>
      <c r="F476" s="26"/>
      <c r="G476" s="26"/>
      <c r="H476" s="26"/>
      <c r="I476" s="26"/>
      <c r="J476" s="26"/>
      <c r="K476" s="27"/>
      <c r="L476" s="26"/>
      <c r="M476" s="26"/>
      <c r="N476" s="26"/>
      <c r="O476" s="26"/>
      <c r="P476" s="26"/>
    </row>
    <row r="477">
      <c r="A477" s="26"/>
      <c r="B477" s="26"/>
      <c r="C477" s="26"/>
      <c r="D477" s="26"/>
      <c r="E477" s="26"/>
      <c r="F477" s="26"/>
      <c r="G477" s="26"/>
      <c r="H477" s="26"/>
      <c r="I477" s="26"/>
      <c r="J477" s="26"/>
      <c r="K477" s="27"/>
      <c r="L477" s="26"/>
      <c r="M477" s="26"/>
      <c r="N477" s="26"/>
      <c r="O477" s="26"/>
      <c r="P477" s="26"/>
    </row>
    <row r="478">
      <c r="A478" s="26"/>
      <c r="B478" s="26"/>
      <c r="C478" s="26"/>
      <c r="D478" s="26"/>
      <c r="E478" s="26"/>
      <c r="F478" s="26"/>
      <c r="G478" s="26"/>
      <c r="H478" s="26"/>
      <c r="I478" s="26"/>
      <c r="J478" s="26"/>
      <c r="K478" s="27"/>
      <c r="L478" s="26"/>
      <c r="M478" s="26"/>
      <c r="N478" s="26"/>
      <c r="O478" s="26"/>
      <c r="P478" s="26"/>
    </row>
    <row r="479">
      <c r="A479" s="26"/>
      <c r="B479" s="26"/>
      <c r="C479" s="26"/>
      <c r="D479" s="26"/>
      <c r="E479" s="26"/>
      <c r="F479" s="26"/>
      <c r="G479" s="26"/>
      <c r="H479" s="26"/>
      <c r="I479" s="26"/>
      <c r="J479" s="26"/>
      <c r="K479" s="27"/>
      <c r="L479" s="26"/>
      <c r="M479" s="26"/>
      <c r="N479" s="26"/>
      <c r="O479" s="26"/>
      <c r="P479" s="26"/>
    </row>
    <row r="480">
      <c r="A480" s="26"/>
      <c r="B480" s="26"/>
      <c r="C480" s="26"/>
      <c r="D480" s="26"/>
      <c r="E480" s="26"/>
      <c r="F480" s="26"/>
      <c r="G480" s="26"/>
      <c r="H480" s="26"/>
      <c r="I480" s="26"/>
      <c r="J480" s="26"/>
      <c r="K480" s="27"/>
      <c r="L480" s="26"/>
      <c r="M480" s="26"/>
      <c r="N480" s="26"/>
      <c r="O480" s="26"/>
      <c r="P480" s="26"/>
    </row>
    <row r="481">
      <c r="A481" s="26"/>
      <c r="B481" s="26"/>
      <c r="C481" s="26"/>
      <c r="D481" s="26"/>
      <c r="E481" s="26"/>
      <c r="F481" s="26"/>
      <c r="G481" s="26"/>
      <c r="H481" s="26"/>
      <c r="I481" s="26"/>
      <c r="J481" s="26"/>
      <c r="K481" s="27"/>
      <c r="L481" s="26"/>
      <c r="M481" s="26"/>
      <c r="N481" s="26"/>
      <c r="O481" s="26"/>
      <c r="P481" s="26"/>
    </row>
    <row r="482">
      <c r="A482" s="26"/>
      <c r="B482" s="26"/>
      <c r="C482" s="26"/>
      <c r="D482" s="26"/>
      <c r="E482" s="26"/>
      <c r="F482" s="26"/>
      <c r="G482" s="26"/>
      <c r="H482" s="26"/>
      <c r="I482" s="26"/>
      <c r="J482" s="26"/>
      <c r="K482" s="27"/>
      <c r="L482" s="26"/>
      <c r="M482" s="26"/>
      <c r="N482" s="26"/>
      <c r="O482" s="26"/>
      <c r="P482" s="26"/>
    </row>
    <row r="483">
      <c r="A483" s="26"/>
      <c r="B483" s="26"/>
      <c r="C483" s="26"/>
      <c r="D483" s="26"/>
      <c r="E483" s="26"/>
      <c r="F483" s="26"/>
      <c r="G483" s="26"/>
      <c r="H483" s="26"/>
      <c r="I483" s="26"/>
      <c r="J483" s="26"/>
      <c r="K483" s="27"/>
      <c r="L483" s="26"/>
      <c r="M483" s="26"/>
      <c r="N483" s="26"/>
      <c r="O483" s="26"/>
      <c r="P483" s="26"/>
    </row>
    <row r="484">
      <c r="A484" s="26"/>
      <c r="B484" s="26"/>
      <c r="C484" s="26"/>
      <c r="D484" s="26"/>
      <c r="E484" s="26"/>
      <c r="F484" s="26"/>
      <c r="G484" s="26"/>
      <c r="H484" s="26"/>
      <c r="I484" s="26"/>
      <c r="J484" s="26"/>
      <c r="K484" s="27"/>
      <c r="L484" s="26"/>
      <c r="M484" s="26"/>
      <c r="N484" s="26"/>
      <c r="O484" s="26"/>
      <c r="P484" s="26"/>
    </row>
    <row r="485">
      <c r="A485" s="26"/>
      <c r="B485" s="26"/>
      <c r="C485" s="26"/>
      <c r="D485" s="26"/>
      <c r="E485" s="26"/>
      <c r="F485" s="26"/>
      <c r="G485" s="26"/>
      <c r="H485" s="26"/>
      <c r="I485" s="26"/>
      <c r="J485" s="26"/>
      <c r="K485" s="27"/>
      <c r="L485" s="26"/>
      <c r="M485" s="26"/>
      <c r="N485" s="26"/>
      <c r="O485" s="26"/>
      <c r="P485" s="26"/>
    </row>
    <row r="486">
      <c r="A486" s="26"/>
      <c r="B486" s="26"/>
      <c r="C486" s="26"/>
      <c r="D486" s="26"/>
      <c r="E486" s="26"/>
      <c r="F486" s="26"/>
      <c r="G486" s="26"/>
      <c r="H486" s="26"/>
      <c r="I486" s="26"/>
      <c r="J486" s="26"/>
      <c r="K486" s="27"/>
      <c r="L486" s="26"/>
      <c r="M486" s="26"/>
      <c r="N486" s="26"/>
      <c r="O486" s="26"/>
      <c r="P486" s="26"/>
    </row>
    <row r="487">
      <c r="A487" s="26"/>
      <c r="B487" s="26"/>
      <c r="C487" s="26"/>
      <c r="D487" s="26"/>
      <c r="E487" s="26"/>
      <c r="F487" s="26"/>
      <c r="G487" s="26"/>
      <c r="H487" s="26"/>
      <c r="I487" s="26"/>
      <c r="J487" s="26"/>
      <c r="K487" s="27"/>
      <c r="L487" s="26"/>
      <c r="M487" s="26"/>
      <c r="N487" s="26"/>
      <c r="O487" s="26"/>
      <c r="P487" s="26"/>
    </row>
    <row r="488">
      <c r="A488" s="26"/>
      <c r="B488" s="26"/>
      <c r="C488" s="26"/>
      <c r="D488" s="26"/>
      <c r="E488" s="26"/>
      <c r="F488" s="26"/>
      <c r="G488" s="26"/>
      <c r="H488" s="26"/>
      <c r="I488" s="26"/>
      <c r="J488" s="26"/>
      <c r="K488" s="27"/>
      <c r="L488" s="26"/>
      <c r="M488" s="26"/>
      <c r="N488" s="26"/>
      <c r="O488" s="26"/>
      <c r="P488" s="26"/>
    </row>
    <row r="489">
      <c r="A489" s="26"/>
      <c r="B489" s="26"/>
      <c r="C489" s="26"/>
      <c r="D489" s="26"/>
      <c r="E489" s="26"/>
      <c r="F489" s="26"/>
      <c r="G489" s="26"/>
      <c r="H489" s="26"/>
      <c r="I489" s="26"/>
      <c r="J489" s="26"/>
      <c r="K489" s="27"/>
      <c r="L489" s="26"/>
      <c r="M489" s="26"/>
      <c r="N489" s="26"/>
      <c r="O489" s="26"/>
      <c r="P489" s="26"/>
    </row>
    <row r="490">
      <c r="A490" s="26"/>
      <c r="B490" s="26"/>
      <c r="C490" s="26"/>
      <c r="D490" s="26"/>
      <c r="E490" s="26"/>
      <c r="F490" s="26"/>
      <c r="G490" s="26"/>
      <c r="H490" s="26"/>
      <c r="I490" s="26"/>
      <c r="J490" s="26"/>
      <c r="K490" s="27"/>
      <c r="L490" s="26"/>
      <c r="M490" s="26"/>
      <c r="N490" s="26"/>
      <c r="O490" s="26"/>
      <c r="P490" s="26"/>
    </row>
    <row r="491">
      <c r="A491" s="26"/>
      <c r="B491" s="26"/>
      <c r="C491" s="26"/>
      <c r="D491" s="26"/>
      <c r="E491" s="26"/>
      <c r="F491" s="26"/>
      <c r="G491" s="26"/>
      <c r="H491" s="26"/>
      <c r="I491" s="26"/>
      <c r="J491" s="26"/>
      <c r="K491" s="27"/>
      <c r="L491" s="26"/>
      <c r="M491" s="26"/>
      <c r="N491" s="26"/>
      <c r="O491" s="26"/>
      <c r="P491" s="26"/>
    </row>
    <row r="492">
      <c r="A492" s="26"/>
      <c r="B492" s="26"/>
      <c r="C492" s="26"/>
      <c r="D492" s="26"/>
      <c r="E492" s="26"/>
      <c r="F492" s="26"/>
      <c r="G492" s="26"/>
      <c r="H492" s="26"/>
      <c r="I492" s="26"/>
      <c r="J492" s="26"/>
      <c r="K492" s="27"/>
      <c r="L492" s="26"/>
      <c r="M492" s="26"/>
      <c r="N492" s="26"/>
      <c r="O492" s="26"/>
      <c r="P492" s="26"/>
    </row>
    <row r="493">
      <c r="A493" s="26"/>
      <c r="B493" s="26"/>
      <c r="C493" s="26"/>
      <c r="D493" s="26"/>
      <c r="E493" s="26"/>
      <c r="F493" s="26"/>
      <c r="G493" s="26"/>
      <c r="H493" s="26"/>
      <c r="I493" s="26"/>
      <c r="J493" s="26"/>
      <c r="K493" s="27"/>
      <c r="L493" s="26"/>
      <c r="M493" s="26"/>
      <c r="N493" s="26"/>
      <c r="O493" s="26"/>
      <c r="P493" s="26"/>
    </row>
    <row r="494">
      <c r="A494" s="26"/>
      <c r="B494" s="26"/>
      <c r="C494" s="26"/>
      <c r="D494" s="26"/>
      <c r="E494" s="26"/>
      <c r="F494" s="26"/>
      <c r="G494" s="26"/>
      <c r="H494" s="26"/>
      <c r="I494" s="26"/>
      <c r="J494" s="26"/>
      <c r="K494" s="27"/>
      <c r="L494" s="26"/>
      <c r="M494" s="26"/>
      <c r="N494" s="26"/>
      <c r="O494" s="26"/>
      <c r="P494" s="26"/>
    </row>
    <row r="495">
      <c r="A495" s="26"/>
      <c r="B495" s="26"/>
      <c r="C495" s="26"/>
      <c r="D495" s="26"/>
      <c r="E495" s="26"/>
      <c r="F495" s="26"/>
      <c r="G495" s="26"/>
      <c r="H495" s="26"/>
      <c r="I495" s="26"/>
      <c r="J495" s="26"/>
      <c r="K495" s="27"/>
      <c r="L495" s="26"/>
      <c r="M495" s="26"/>
      <c r="N495" s="26"/>
      <c r="O495" s="26"/>
      <c r="P495" s="26"/>
    </row>
    <row r="496">
      <c r="A496" s="26"/>
      <c r="B496" s="26"/>
      <c r="C496" s="26"/>
      <c r="D496" s="26"/>
      <c r="E496" s="26"/>
      <c r="F496" s="26"/>
      <c r="G496" s="26"/>
      <c r="H496" s="26"/>
      <c r="I496" s="26"/>
      <c r="J496" s="26"/>
      <c r="K496" s="27"/>
      <c r="L496" s="26"/>
      <c r="M496" s="26"/>
      <c r="N496" s="26"/>
      <c r="O496" s="26"/>
      <c r="P496" s="26"/>
    </row>
    <row r="497">
      <c r="A497" s="26"/>
      <c r="B497" s="26"/>
      <c r="C497" s="26"/>
      <c r="D497" s="26"/>
      <c r="E497" s="26"/>
      <c r="F497" s="26"/>
      <c r="G497" s="26"/>
      <c r="H497" s="26"/>
      <c r="I497" s="26"/>
      <c r="J497" s="26"/>
      <c r="K497" s="27"/>
      <c r="L497" s="26"/>
      <c r="M497" s="26"/>
      <c r="N497" s="26"/>
      <c r="O497" s="26"/>
      <c r="P497" s="26"/>
    </row>
    <row r="498">
      <c r="A498" s="26"/>
      <c r="B498" s="26"/>
      <c r="C498" s="26"/>
      <c r="D498" s="26"/>
      <c r="E498" s="26"/>
      <c r="F498" s="26"/>
      <c r="G498" s="26"/>
      <c r="H498" s="26"/>
      <c r="I498" s="26"/>
      <c r="J498" s="26"/>
      <c r="K498" s="27"/>
      <c r="L498" s="26"/>
      <c r="M498" s="26"/>
      <c r="N498" s="26"/>
      <c r="O498" s="26"/>
      <c r="P498" s="26"/>
    </row>
    <row r="499">
      <c r="A499" s="26"/>
      <c r="B499" s="26"/>
      <c r="C499" s="26"/>
      <c r="D499" s="26"/>
      <c r="E499" s="26"/>
      <c r="F499" s="26"/>
      <c r="G499" s="26"/>
      <c r="H499" s="26"/>
      <c r="I499" s="26"/>
      <c r="J499" s="26"/>
      <c r="K499" s="27"/>
      <c r="L499" s="26"/>
      <c r="M499" s="26"/>
      <c r="N499" s="26"/>
      <c r="O499" s="26"/>
      <c r="P499" s="26"/>
    </row>
    <row r="500">
      <c r="A500" s="26"/>
      <c r="B500" s="26"/>
      <c r="C500" s="26"/>
      <c r="D500" s="26"/>
      <c r="E500" s="26"/>
      <c r="F500" s="26"/>
      <c r="G500" s="26"/>
      <c r="H500" s="26"/>
      <c r="I500" s="26"/>
      <c r="J500" s="26"/>
      <c r="K500" s="27"/>
      <c r="L500" s="26"/>
      <c r="M500" s="26"/>
      <c r="N500" s="26"/>
      <c r="O500" s="26"/>
      <c r="P500" s="26"/>
    </row>
    <row r="501">
      <c r="A501" s="26"/>
      <c r="B501" s="26"/>
      <c r="C501" s="26"/>
      <c r="D501" s="26"/>
      <c r="E501" s="26"/>
      <c r="F501" s="26"/>
      <c r="G501" s="26"/>
      <c r="H501" s="26"/>
      <c r="I501" s="26"/>
      <c r="J501" s="26"/>
      <c r="K501" s="27"/>
      <c r="L501" s="26"/>
      <c r="M501" s="26"/>
      <c r="N501" s="26"/>
      <c r="O501" s="26"/>
      <c r="P501" s="26"/>
    </row>
    <row r="502">
      <c r="A502" s="26"/>
      <c r="B502" s="26"/>
      <c r="C502" s="26"/>
      <c r="D502" s="26"/>
      <c r="E502" s="26"/>
      <c r="F502" s="26"/>
      <c r="G502" s="26"/>
      <c r="H502" s="26"/>
      <c r="I502" s="26"/>
      <c r="J502" s="26"/>
      <c r="K502" s="27"/>
      <c r="L502" s="26"/>
      <c r="M502" s="26"/>
      <c r="N502" s="26"/>
      <c r="O502" s="26"/>
      <c r="P502" s="26"/>
    </row>
    <row r="503">
      <c r="A503" s="26"/>
      <c r="B503" s="26"/>
      <c r="C503" s="26"/>
      <c r="D503" s="26"/>
      <c r="E503" s="26"/>
      <c r="F503" s="26"/>
      <c r="G503" s="26"/>
      <c r="H503" s="26"/>
      <c r="I503" s="26"/>
      <c r="J503" s="26"/>
      <c r="K503" s="27"/>
      <c r="L503" s="26"/>
      <c r="M503" s="26"/>
      <c r="N503" s="26"/>
      <c r="O503" s="26"/>
      <c r="P503" s="26"/>
    </row>
    <row r="504">
      <c r="A504" s="26"/>
      <c r="B504" s="26"/>
      <c r="C504" s="26"/>
      <c r="D504" s="26"/>
      <c r="E504" s="26"/>
      <c r="F504" s="26"/>
      <c r="G504" s="26"/>
      <c r="H504" s="26"/>
      <c r="I504" s="26"/>
      <c r="J504" s="26"/>
      <c r="K504" s="27"/>
      <c r="L504" s="26"/>
      <c r="M504" s="26"/>
      <c r="N504" s="26"/>
      <c r="O504" s="26"/>
      <c r="P504" s="26"/>
    </row>
    <row r="505">
      <c r="A505" s="26"/>
      <c r="B505" s="26"/>
      <c r="C505" s="26"/>
      <c r="D505" s="26"/>
      <c r="E505" s="26"/>
      <c r="F505" s="26"/>
      <c r="G505" s="26"/>
      <c r="H505" s="26"/>
      <c r="I505" s="26"/>
      <c r="J505" s="26"/>
      <c r="K505" s="27"/>
      <c r="L505" s="26"/>
      <c r="M505" s="26"/>
      <c r="N505" s="26"/>
      <c r="O505" s="26"/>
      <c r="P505" s="26"/>
    </row>
    <row r="506">
      <c r="A506" s="26"/>
      <c r="B506" s="26"/>
      <c r="C506" s="26"/>
      <c r="D506" s="26"/>
      <c r="E506" s="26"/>
      <c r="F506" s="26"/>
      <c r="G506" s="26"/>
      <c r="H506" s="26"/>
      <c r="I506" s="26"/>
      <c r="J506" s="26"/>
      <c r="K506" s="27"/>
      <c r="L506" s="26"/>
      <c r="M506" s="26"/>
      <c r="N506" s="26"/>
      <c r="O506" s="26"/>
      <c r="P506" s="26"/>
    </row>
    <row r="507">
      <c r="A507" s="26"/>
      <c r="B507" s="26"/>
      <c r="C507" s="26"/>
      <c r="D507" s="26"/>
      <c r="E507" s="26"/>
      <c r="F507" s="26"/>
      <c r="G507" s="26"/>
      <c r="H507" s="26"/>
      <c r="I507" s="26"/>
      <c r="J507" s="26"/>
      <c r="K507" s="27"/>
      <c r="L507" s="26"/>
      <c r="M507" s="26"/>
      <c r="N507" s="26"/>
      <c r="O507" s="26"/>
      <c r="P507" s="26"/>
    </row>
    <row r="508">
      <c r="A508" s="26"/>
      <c r="B508" s="26"/>
      <c r="C508" s="26"/>
      <c r="D508" s="26"/>
      <c r="E508" s="26"/>
      <c r="F508" s="26"/>
      <c r="G508" s="26"/>
      <c r="H508" s="26"/>
      <c r="I508" s="26"/>
      <c r="J508" s="26"/>
      <c r="K508" s="27"/>
      <c r="L508" s="26"/>
      <c r="M508" s="26"/>
      <c r="N508" s="26"/>
      <c r="O508" s="26"/>
      <c r="P508" s="26"/>
    </row>
    <row r="509">
      <c r="A509" s="26"/>
      <c r="B509" s="26"/>
      <c r="C509" s="26"/>
      <c r="D509" s="26"/>
      <c r="E509" s="26"/>
      <c r="F509" s="26"/>
      <c r="G509" s="26"/>
      <c r="H509" s="26"/>
      <c r="I509" s="26"/>
      <c r="J509" s="26"/>
      <c r="K509" s="27"/>
      <c r="L509" s="26"/>
      <c r="M509" s="26"/>
      <c r="N509" s="26"/>
      <c r="O509" s="26"/>
      <c r="P509" s="26"/>
    </row>
    <row r="510">
      <c r="A510" s="26"/>
      <c r="B510" s="26"/>
      <c r="C510" s="26"/>
      <c r="D510" s="26"/>
      <c r="E510" s="26"/>
      <c r="F510" s="26"/>
      <c r="G510" s="26"/>
      <c r="H510" s="26"/>
      <c r="I510" s="26"/>
      <c r="J510" s="26"/>
      <c r="K510" s="27"/>
      <c r="L510" s="26"/>
      <c r="M510" s="26"/>
      <c r="N510" s="26"/>
      <c r="O510" s="26"/>
      <c r="P510" s="26"/>
    </row>
    <row r="511">
      <c r="A511" s="26"/>
      <c r="B511" s="26"/>
      <c r="C511" s="26"/>
      <c r="D511" s="26"/>
      <c r="E511" s="26"/>
      <c r="F511" s="26"/>
      <c r="G511" s="26"/>
      <c r="H511" s="26"/>
      <c r="I511" s="26"/>
      <c r="J511" s="26"/>
      <c r="K511" s="27"/>
      <c r="L511" s="26"/>
      <c r="M511" s="26"/>
      <c r="N511" s="26"/>
      <c r="O511" s="26"/>
      <c r="P511" s="26"/>
    </row>
    <row r="512">
      <c r="A512" s="26"/>
      <c r="B512" s="26"/>
      <c r="C512" s="26"/>
      <c r="D512" s="26"/>
      <c r="E512" s="26"/>
      <c r="F512" s="26"/>
      <c r="G512" s="26"/>
      <c r="H512" s="26"/>
      <c r="I512" s="26"/>
      <c r="J512" s="26"/>
      <c r="K512" s="27"/>
      <c r="L512" s="26"/>
      <c r="M512" s="26"/>
      <c r="N512" s="26"/>
      <c r="O512" s="26"/>
      <c r="P512" s="26"/>
    </row>
    <row r="513">
      <c r="A513" s="26"/>
      <c r="B513" s="26"/>
      <c r="C513" s="26"/>
      <c r="D513" s="26"/>
      <c r="E513" s="26"/>
      <c r="F513" s="26"/>
      <c r="G513" s="26"/>
      <c r="H513" s="26"/>
      <c r="I513" s="26"/>
      <c r="J513" s="26"/>
      <c r="K513" s="27"/>
      <c r="L513" s="26"/>
      <c r="M513" s="26"/>
      <c r="N513" s="26"/>
      <c r="O513" s="26"/>
      <c r="P513" s="26"/>
    </row>
    <row r="514">
      <c r="A514" s="26"/>
      <c r="B514" s="26"/>
      <c r="C514" s="26"/>
      <c r="D514" s="26"/>
      <c r="E514" s="26"/>
      <c r="F514" s="26"/>
      <c r="G514" s="26"/>
      <c r="H514" s="26"/>
      <c r="I514" s="26"/>
      <c r="J514" s="26"/>
      <c r="K514" s="27"/>
      <c r="L514" s="26"/>
      <c r="M514" s="26"/>
      <c r="N514" s="26"/>
      <c r="O514" s="26"/>
      <c r="P514" s="26"/>
    </row>
    <row r="515">
      <c r="A515" s="26"/>
      <c r="B515" s="26"/>
      <c r="C515" s="26"/>
      <c r="D515" s="26"/>
      <c r="E515" s="26"/>
      <c r="F515" s="26"/>
      <c r="G515" s="26"/>
      <c r="H515" s="26"/>
      <c r="I515" s="26"/>
      <c r="J515" s="26"/>
      <c r="K515" s="27"/>
      <c r="L515" s="26"/>
      <c r="M515" s="26"/>
      <c r="N515" s="26"/>
      <c r="O515" s="26"/>
      <c r="P515" s="26"/>
    </row>
    <row r="516">
      <c r="A516" s="26"/>
      <c r="B516" s="26"/>
      <c r="C516" s="26"/>
      <c r="D516" s="26"/>
      <c r="E516" s="26"/>
      <c r="F516" s="26"/>
      <c r="G516" s="26"/>
      <c r="H516" s="26"/>
      <c r="I516" s="26"/>
      <c r="J516" s="26"/>
      <c r="K516" s="27"/>
      <c r="L516" s="26"/>
      <c r="M516" s="26"/>
      <c r="N516" s="26"/>
      <c r="O516" s="26"/>
      <c r="P516" s="26"/>
    </row>
    <row r="517">
      <c r="A517" s="26"/>
      <c r="B517" s="26"/>
      <c r="C517" s="26"/>
      <c r="D517" s="26"/>
      <c r="E517" s="26"/>
      <c r="F517" s="26"/>
      <c r="G517" s="26"/>
      <c r="H517" s="26"/>
      <c r="I517" s="26"/>
      <c r="J517" s="26"/>
      <c r="K517" s="27"/>
      <c r="L517" s="26"/>
      <c r="M517" s="26"/>
      <c r="N517" s="26"/>
      <c r="O517" s="26"/>
      <c r="P517" s="26"/>
    </row>
    <row r="518">
      <c r="A518" s="26"/>
      <c r="B518" s="26"/>
      <c r="C518" s="26"/>
      <c r="D518" s="26"/>
      <c r="E518" s="26"/>
      <c r="F518" s="26"/>
      <c r="G518" s="26"/>
      <c r="H518" s="26"/>
      <c r="I518" s="26"/>
      <c r="J518" s="26"/>
      <c r="K518" s="27"/>
      <c r="L518" s="26"/>
      <c r="M518" s="26"/>
      <c r="N518" s="26"/>
      <c r="O518" s="26"/>
      <c r="P518" s="26"/>
    </row>
    <row r="519">
      <c r="A519" s="26"/>
      <c r="B519" s="26"/>
      <c r="C519" s="26"/>
      <c r="D519" s="26"/>
      <c r="E519" s="26"/>
      <c r="F519" s="26"/>
      <c r="G519" s="26"/>
      <c r="H519" s="26"/>
      <c r="I519" s="26"/>
      <c r="J519" s="26"/>
      <c r="K519" s="27"/>
      <c r="L519" s="26"/>
      <c r="M519" s="26"/>
      <c r="N519" s="26"/>
      <c r="O519" s="26"/>
      <c r="P519" s="26"/>
    </row>
    <row r="520">
      <c r="A520" s="26"/>
      <c r="B520" s="26"/>
      <c r="C520" s="26"/>
      <c r="D520" s="26"/>
      <c r="E520" s="26"/>
      <c r="F520" s="26"/>
      <c r="G520" s="26"/>
      <c r="H520" s="26"/>
      <c r="I520" s="26"/>
      <c r="J520" s="26"/>
      <c r="K520" s="27"/>
      <c r="L520" s="26"/>
      <c r="M520" s="26"/>
      <c r="N520" s="26"/>
      <c r="O520" s="26"/>
      <c r="P520" s="26"/>
    </row>
    <row r="521">
      <c r="A521" s="26"/>
      <c r="B521" s="26"/>
      <c r="C521" s="26"/>
      <c r="D521" s="26"/>
      <c r="E521" s="26"/>
      <c r="F521" s="26"/>
      <c r="G521" s="26"/>
      <c r="H521" s="26"/>
      <c r="I521" s="26"/>
      <c r="J521" s="26"/>
      <c r="K521" s="27"/>
      <c r="L521" s="26"/>
      <c r="M521" s="26"/>
      <c r="N521" s="26"/>
      <c r="O521" s="26"/>
      <c r="P521" s="26"/>
    </row>
    <row r="522">
      <c r="A522" s="26"/>
      <c r="B522" s="26"/>
      <c r="C522" s="26"/>
      <c r="D522" s="26"/>
      <c r="E522" s="26"/>
      <c r="F522" s="26"/>
      <c r="G522" s="26"/>
      <c r="H522" s="26"/>
      <c r="I522" s="26"/>
      <c r="J522" s="26"/>
      <c r="K522" s="27"/>
      <c r="L522" s="26"/>
      <c r="M522" s="26"/>
      <c r="N522" s="26"/>
      <c r="O522" s="26"/>
      <c r="P522" s="26"/>
    </row>
    <row r="523">
      <c r="A523" s="26"/>
      <c r="B523" s="26"/>
      <c r="C523" s="26"/>
      <c r="D523" s="26"/>
      <c r="E523" s="26"/>
      <c r="F523" s="26"/>
      <c r="G523" s="26"/>
      <c r="H523" s="26"/>
      <c r="I523" s="26"/>
      <c r="J523" s="26"/>
      <c r="K523" s="27"/>
      <c r="L523" s="26"/>
      <c r="M523" s="26"/>
      <c r="N523" s="26"/>
      <c r="O523" s="26"/>
      <c r="P523" s="26"/>
    </row>
    <row r="524">
      <c r="A524" s="26"/>
      <c r="B524" s="26"/>
      <c r="C524" s="26"/>
      <c r="D524" s="26"/>
      <c r="E524" s="26"/>
      <c r="F524" s="26"/>
      <c r="G524" s="26"/>
      <c r="H524" s="26"/>
      <c r="I524" s="26"/>
      <c r="J524" s="26"/>
      <c r="K524" s="27"/>
      <c r="L524" s="26"/>
      <c r="M524" s="26"/>
      <c r="N524" s="26"/>
      <c r="O524" s="26"/>
      <c r="P524" s="26"/>
    </row>
    <row r="525">
      <c r="A525" s="26"/>
      <c r="B525" s="26"/>
      <c r="C525" s="26"/>
      <c r="D525" s="26"/>
      <c r="E525" s="26"/>
      <c r="F525" s="26"/>
      <c r="G525" s="26"/>
      <c r="H525" s="26"/>
      <c r="I525" s="26"/>
      <c r="J525" s="26"/>
      <c r="K525" s="27"/>
      <c r="L525" s="26"/>
      <c r="M525" s="26"/>
      <c r="N525" s="26"/>
      <c r="O525" s="26"/>
      <c r="P525" s="26"/>
    </row>
    <row r="526">
      <c r="A526" s="26"/>
      <c r="B526" s="26"/>
      <c r="C526" s="26"/>
      <c r="D526" s="26"/>
      <c r="E526" s="26"/>
      <c r="F526" s="26"/>
      <c r="G526" s="26"/>
      <c r="H526" s="26"/>
      <c r="I526" s="26"/>
      <c r="J526" s="26"/>
      <c r="K526" s="27"/>
      <c r="L526" s="26"/>
      <c r="M526" s="26"/>
      <c r="N526" s="26"/>
      <c r="O526" s="26"/>
      <c r="P526" s="26"/>
    </row>
    <row r="527">
      <c r="A527" s="26"/>
      <c r="B527" s="26"/>
      <c r="C527" s="26"/>
      <c r="D527" s="26"/>
      <c r="E527" s="26"/>
      <c r="F527" s="26"/>
      <c r="G527" s="26"/>
      <c r="H527" s="26"/>
      <c r="I527" s="26"/>
      <c r="J527" s="26"/>
      <c r="K527" s="27"/>
      <c r="L527" s="26"/>
      <c r="M527" s="26"/>
      <c r="N527" s="26"/>
      <c r="O527" s="26"/>
      <c r="P527" s="26"/>
    </row>
    <row r="528">
      <c r="A528" s="26"/>
      <c r="B528" s="26"/>
      <c r="C528" s="26"/>
      <c r="D528" s="26"/>
      <c r="E528" s="26"/>
      <c r="F528" s="26"/>
      <c r="G528" s="26"/>
      <c r="H528" s="26"/>
      <c r="I528" s="26"/>
      <c r="J528" s="26"/>
      <c r="K528" s="27"/>
      <c r="L528" s="26"/>
      <c r="M528" s="26"/>
      <c r="N528" s="26"/>
      <c r="O528" s="26"/>
      <c r="P528" s="26"/>
    </row>
    <row r="529">
      <c r="A529" s="26"/>
      <c r="B529" s="26"/>
      <c r="C529" s="26"/>
      <c r="D529" s="26"/>
      <c r="E529" s="26"/>
      <c r="F529" s="26"/>
      <c r="G529" s="26"/>
      <c r="H529" s="26"/>
      <c r="I529" s="26"/>
      <c r="J529" s="26"/>
      <c r="K529" s="27"/>
      <c r="L529" s="26"/>
      <c r="M529" s="26"/>
      <c r="N529" s="26"/>
      <c r="O529" s="26"/>
      <c r="P529" s="26"/>
    </row>
    <row r="530">
      <c r="A530" s="26"/>
      <c r="B530" s="26"/>
      <c r="C530" s="26"/>
      <c r="D530" s="26"/>
      <c r="E530" s="26"/>
      <c r="F530" s="26"/>
      <c r="G530" s="26"/>
      <c r="H530" s="26"/>
      <c r="I530" s="26"/>
      <c r="J530" s="26"/>
      <c r="K530" s="27"/>
      <c r="L530" s="26"/>
      <c r="M530" s="26"/>
      <c r="N530" s="26"/>
      <c r="O530" s="26"/>
      <c r="P530" s="26"/>
    </row>
    <row r="531">
      <c r="A531" s="26"/>
      <c r="B531" s="26"/>
      <c r="C531" s="26"/>
      <c r="D531" s="26"/>
      <c r="E531" s="26"/>
      <c r="F531" s="26"/>
      <c r="G531" s="26"/>
      <c r="H531" s="26"/>
      <c r="I531" s="26"/>
      <c r="J531" s="26"/>
      <c r="K531" s="27"/>
      <c r="L531" s="26"/>
      <c r="M531" s="26"/>
      <c r="N531" s="26"/>
      <c r="O531" s="26"/>
      <c r="P531" s="26"/>
    </row>
    <row r="532">
      <c r="A532" s="26"/>
      <c r="B532" s="26"/>
      <c r="C532" s="26"/>
      <c r="D532" s="26"/>
      <c r="E532" s="26"/>
      <c r="F532" s="26"/>
      <c r="G532" s="26"/>
      <c r="H532" s="26"/>
      <c r="I532" s="26"/>
      <c r="J532" s="26"/>
      <c r="K532" s="27"/>
      <c r="L532" s="26"/>
      <c r="M532" s="26"/>
      <c r="N532" s="26"/>
      <c r="O532" s="26"/>
      <c r="P532" s="26"/>
    </row>
    <row r="533">
      <c r="A533" s="26"/>
      <c r="B533" s="26"/>
      <c r="C533" s="26"/>
      <c r="D533" s="26"/>
      <c r="E533" s="26"/>
      <c r="F533" s="26"/>
      <c r="G533" s="26"/>
      <c r="H533" s="26"/>
      <c r="I533" s="26"/>
      <c r="J533" s="26"/>
      <c r="K533" s="27"/>
      <c r="L533" s="26"/>
      <c r="M533" s="26"/>
      <c r="N533" s="26"/>
      <c r="O533" s="26"/>
      <c r="P533" s="26"/>
    </row>
    <row r="534">
      <c r="A534" s="26"/>
      <c r="B534" s="26"/>
      <c r="C534" s="26"/>
      <c r="D534" s="26"/>
      <c r="E534" s="26"/>
      <c r="F534" s="26"/>
      <c r="G534" s="26"/>
      <c r="H534" s="26"/>
      <c r="I534" s="26"/>
      <c r="J534" s="26"/>
      <c r="K534" s="27"/>
      <c r="L534" s="26"/>
      <c r="M534" s="26"/>
      <c r="N534" s="26"/>
      <c r="O534" s="26"/>
      <c r="P534" s="26"/>
    </row>
    <row r="535">
      <c r="A535" s="26"/>
      <c r="B535" s="26"/>
      <c r="C535" s="26"/>
      <c r="D535" s="26"/>
      <c r="E535" s="26"/>
      <c r="F535" s="26"/>
      <c r="G535" s="26"/>
      <c r="H535" s="26"/>
      <c r="I535" s="26"/>
      <c r="J535" s="26"/>
      <c r="K535" s="27"/>
      <c r="L535" s="26"/>
      <c r="M535" s="26"/>
      <c r="N535" s="26"/>
      <c r="O535" s="26"/>
      <c r="P535" s="26"/>
    </row>
    <row r="536">
      <c r="A536" s="26"/>
      <c r="B536" s="26"/>
      <c r="C536" s="26"/>
      <c r="D536" s="26"/>
      <c r="E536" s="26"/>
      <c r="F536" s="26"/>
      <c r="G536" s="26"/>
      <c r="H536" s="26"/>
      <c r="I536" s="26"/>
      <c r="J536" s="26"/>
      <c r="K536" s="27"/>
      <c r="L536" s="26"/>
      <c r="M536" s="26"/>
      <c r="N536" s="26"/>
      <c r="O536" s="26"/>
      <c r="P536" s="26"/>
    </row>
    <row r="537">
      <c r="A537" s="26"/>
      <c r="B537" s="26"/>
      <c r="C537" s="26"/>
      <c r="D537" s="26"/>
      <c r="E537" s="26"/>
      <c r="F537" s="26"/>
      <c r="G537" s="26"/>
      <c r="H537" s="26"/>
      <c r="I537" s="26"/>
      <c r="J537" s="26"/>
      <c r="K537" s="27"/>
      <c r="L537" s="26"/>
      <c r="M537" s="26"/>
      <c r="N537" s="26"/>
      <c r="O537" s="26"/>
      <c r="P537" s="26"/>
    </row>
    <row r="538">
      <c r="A538" s="26"/>
      <c r="B538" s="26"/>
      <c r="C538" s="26"/>
      <c r="D538" s="26"/>
      <c r="E538" s="26"/>
      <c r="F538" s="26"/>
      <c r="G538" s="26"/>
      <c r="H538" s="26"/>
      <c r="I538" s="26"/>
      <c r="J538" s="26"/>
      <c r="K538" s="27"/>
      <c r="L538" s="26"/>
      <c r="M538" s="26"/>
      <c r="N538" s="26"/>
      <c r="O538" s="26"/>
      <c r="P538" s="26"/>
    </row>
    <row r="539">
      <c r="A539" s="26"/>
      <c r="B539" s="26"/>
      <c r="C539" s="26"/>
      <c r="D539" s="26"/>
      <c r="E539" s="26"/>
      <c r="F539" s="26"/>
      <c r="G539" s="26"/>
      <c r="H539" s="26"/>
      <c r="I539" s="26"/>
      <c r="J539" s="26"/>
      <c r="K539" s="27"/>
      <c r="L539" s="26"/>
      <c r="M539" s="26"/>
      <c r="N539" s="26"/>
      <c r="O539" s="26"/>
      <c r="P539" s="26"/>
    </row>
    <row r="540">
      <c r="A540" s="26"/>
      <c r="B540" s="26"/>
      <c r="C540" s="26"/>
      <c r="D540" s="26"/>
      <c r="E540" s="26"/>
      <c r="F540" s="26"/>
      <c r="G540" s="26"/>
      <c r="H540" s="26"/>
      <c r="I540" s="26"/>
      <c r="J540" s="26"/>
      <c r="K540" s="27"/>
      <c r="L540" s="26"/>
      <c r="M540" s="26"/>
      <c r="N540" s="26"/>
      <c r="O540" s="26"/>
      <c r="P540" s="26"/>
    </row>
    <row r="541">
      <c r="A541" s="26"/>
      <c r="B541" s="26"/>
      <c r="C541" s="26"/>
      <c r="D541" s="26"/>
      <c r="E541" s="26"/>
      <c r="F541" s="26"/>
      <c r="G541" s="26"/>
      <c r="H541" s="26"/>
      <c r="I541" s="26"/>
      <c r="J541" s="26"/>
      <c r="K541" s="27"/>
      <c r="L541" s="26"/>
      <c r="M541" s="26"/>
      <c r="N541" s="26"/>
      <c r="O541" s="26"/>
      <c r="P541" s="26"/>
    </row>
    <row r="542">
      <c r="A542" s="26"/>
      <c r="B542" s="26"/>
      <c r="C542" s="26"/>
      <c r="D542" s="26"/>
      <c r="E542" s="26"/>
      <c r="F542" s="26"/>
      <c r="G542" s="26"/>
      <c r="H542" s="26"/>
      <c r="I542" s="26"/>
      <c r="J542" s="26"/>
      <c r="K542" s="27"/>
      <c r="L542" s="26"/>
      <c r="M542" s="26"/>
      <c r="N542" s="26"/>
      <c r="O542" s="26"/>
      <c r="P542" s="26"/>
    </row>
    <row r="543">
      <c r="A543" s="26"/>
      <c r="B543" s="26"/>
      <c r="C543" s="26"/>
      <c r="D543" s="26"/>
      <c r="E543" s="26"/>
      <c r="F543" s="26"/>
      <c r="G543" s="26"/>
      <c r="H543" s="26"/>
      <c r="I543" s="26"/>
      <c r="J543" s="26"/>
      <c r="K543" s="27"/>
      <c r="L543" s="26"/>
      <c r="M543" s="26"/>
      <c r="N543" s="26"/>
      <c r="O543" s="26"/>
      <c r="P543" s="26"/>
    </row>
    <row r="544">
      <c r="A544" s="26"/>
      <c r="B544" s="26"/>
      <c r="C544" s="26"/>
      <c r="D544" s="26"/>
      <c r="E544" s="26"/>
      <c r="F544" s="26"/>
      <c r="G544" s="26"/>
      <c r="H544" s="26"/>
      <c r="I544" s="26"/>
      <c r="J544" s="26"/>
      <c r="K544" s="27"/>
      <c r="L544" s="26"/>
      <c r="M544" s="26"/>
      <c r="N544" s="26"/>
      <c r="O544" s="26"/>
      <c r="P544" s="26"/>
    </row>
    <row r="545">
      <c r="A545" s="26"/>
      <c r="B545" s="26"/>
      <c r="C545" s="26"/>
      <c r="D545" s="26"/>
      <c r="E545" s="26"/>
      <c r="F545" s="26"/>
      <c r="G545" s="26"/>
      <c r="H545" s="26"/>
      <c r="I545" s="26"/>
      <c r="J545" s="26"/>
      <c r="K545" s="27"/>
      <c r="L545" s="26"/>
      <c r="M545" s="26"/>
      <c r="N545" s="26"/>
      <c r="O545" s="26"/>
      <c r="P545" s="26"/>
    </row>
    <row r="546">
      <c r="A546" s="26"/>
      <c r="B546" s="26"/>
      <c r="C546" s="26"/>
      <c r="D546" s="26"/>
      <c r="E546" s="26"/>
      <c r="F546" s="26"/>
      <c r="G546" s="26"/>
      <c r="H546" s="26"/>
      <c r="I546" s="26"/>
      <c r="J546" s="26"/>
      <c r="K546" s="27"/>
      <c r="L546" s="26"/>
      <c r="M546" s="26"/>
      <c r="N546" s="26"/>
      <c r="O546" s="26"/>
      <c r="P546" s="26"/>
    </row>
    <row r="547">
      <c r="A547" s="26"/>
      <c r="B547" s="26"/>
      <c r="C547" s="26"/>
      <c r="D547" s="26"/>
      <c r="E547" s="26"/>
      <c r="F547" s="26"/>
      <c r="G547" s="26"/>
      <c r="H547" s="26"/>
      <c r="I547" s="26"/>
      <c r="J547" s="26"/>
      <c r="K547" s="27"/>
      <c r="L547" s="26"/>
      <c r="M547" s="26"/>
      <c r="N547" s="26"/>
      <c r="O547" s="26"/>
      <c r="P547" s="26"/>
    </row>
    <row r="548">
      <c r="A548" s="26"/>
      <c r="B548" s="26"/>
      <c r="C548" s="26"/>
      <c r="D548" s="26"/>
      <c r="E548" s="26"/>
      <c r="F548" s="26"/>
      <c r="G548" s="26"/>
      <c r="H548" s="26"/>
      <c r="I548" s="26"/>
      <c r="J548" s="26"/>
      <c r="K548" s="27"/>
      <c r="L548" s="26"/>
      <c r="M548" s="26"/>
      <c r="N548" s="26"/>
      <c r="O548" s="26"/>
      <c r="P548" s="26"/>
    </row>
    <row r="549">
      <c r="A549" s="26"/>
      <c r="B549" s="26"/>
      <c r="C549" s="26"/>
      <c r="D549" s="26"/>
      <c r="E549" s="26"/>
      <c r="F549" s="26"/>
      <c r="G549" s="26"/>
      <c r="H549" s="26"/>
      <c r="I549" s="26"/>
      <c r="J549" s="26"/>
      <c r="K549" s="27"/>
      <c r="L549" s="26"/>
      <c r="M549" s="26"/>
      <c r="N549" s="26"/>
      <c r="O549" s="26"/>
      <c r="P549" s="26"/>
    </row>
    <row r="550">
      <c r="A550" s="26"/>
      <c r="B550" s="26"/>
      <c r="C550" s="26"/>
      <c r="D550" s="26"/>
      <c r="E550" s="26"/>
      <c r="F550" s="26"/>
      <c r="G550" s="26"/>
      <c r="H550" s="26"/>
      <c r="I550" s="26"/>
      <c r="J550" s="26"/>
      <c r="K550" s="27"/>
      <c r="L550" s="26"/>
      <c r="M550" s="26"/>
      <c r="N550" s="26"/>
      <c r="O550" s="26"/>
      <c r="P550" s="26"/>
    </row>
    <row r="551">
      <c r="A551" s="26"/>
      <c r="B551" s="26"/>
      <c r="C551" s="26"/>
      <c r="D551" s="26"/>
      <c r="E551" s="26"/>
      <c r="F551" s="26"/>
      <c r="G551" s="26"/>
      <c r="H551" s="26"/>
      <c r="I551" s="26"/>
      <c r="J551" s="26"/>
      <c r="K551" s="27"/>
      <c r="L551" s="26"/>
      <c r="M551" s="26"/>
      <c r="N551" s="26"/>
      <c r="O551" s="26"/>
      <c r="P551" s="26"/>
    </row>
    <row r="552">
      <c r="A552" s="26"/>
      <c r="B552" s="26"/>
      <c r="C552" s="26"/>
      <c r="D552" s="26"/>
      <c r="E552" s="26"/>
      <c r="F552" s="26"/>
      <c r="G552" s="26"/>
      <c r="H552" s="26"/>
      <c r="I552" s="26"/>
      <c r="J552" s="26"/>
      <c r="K552" s="27"/>
      <c r="L552" s="26"/>
      <c r="M552" s="26"/>
      <c r="N552" s="26"/>
      <c r="O552" s="26"/>
      <c r="P552" s="26"/>
    </row>
    <row r="553">
      <c r="A553" s="26"/>
      <c r="B553" s="26"/>
      <c r="C553" s="26"/>
      <c r="D553" s="26"/>
      <c r="E553" s="26"/>
      <c r="F553" s="26"/>
      <c r="G553" s="26"/>
      <c r="H553" s="26"/>
      <c r="I553" s="26"/>
      <c r="J553" s="26"/>
      <c r="K553" s="27"/>
      <c r="L553" s="26"/>
      <c r="M553" s="26"/>
      <c r="N553" s="26"/>
      <c r="O553" s="26"/>
      <c r="P553" s="26"/>
    </row>
    <row r="554">
      <c r="A554" s="26"/>
      <c r="B554" s="26"/>
      <c r="C554" s="26"/>
      <c r="D554" s="26"/>
      <c r="E554" s="26"/>
      <c r="F554" s="26"/>
      <c r="G554" s="26"/>
      <c r="H554" s="26"/>
      <c r="I554" s="26"/>
      <c r="J554" s="26"/>
      <c r="K554" s="27"/>
      <c r="L554" s="26"/>
      <c r="M554" s="26"/>
      <c r="N554" s="26"/>
      <c r="O554" s="26"/>
      <c r="P554" s="26"/>
    </row>
    <row r="555">
      <c r="A555" s="26"/>
      <c r="B555" s="26"/>
      <c r="C555" s="26"/>
      <c r="D555" s="26"/>
      <c r="E555" s="26"/>
      <c r="F555" s="26"/>
      <c r="G555" s="26"/>
      <c r="H555" s="26"/>
      <c r="I555" s="26"/>
      <c r="J555" s="26"/>
      <c r="K555" s="27"/>
      <c r="L555" s="26"/>
      <c r="M555" s="26"/>
      <c r="N555" s="26"/>
      <c r="O555" s="26"/>
      <c r="P555" s="26"/>
    </row>
    <row r="556">
      <c r="A556" s="26"/>
      <c r="B556" s="26"/>
      <c r="C556" s="26"/>
      <c r="D556" s="26"/>
      <c r="E556" s="26"/>
      <c r="F556" s="26"/>
      <c r="G556" s="26"/>
      <c r="H556" s="26"/>
      <c r="I556" s="26"/>
      <c r="J556" s="26"/>
      <c r="K556" s="27"/>
      <c r="L556" s="26"/>
      <c r="M556" s="26"/>
      <c r="N556" s="26"/>
      <c r="O556" s="26"/>
      <c r="P556" s="26"/>
    </row>
    <row r="557">
      <c r="A557" s="26"/>
      <c r="B557" s="26"/>
      <c r="C557" s="26"/>
      <c r="D557" s="26"/>
      <c r="E557" s="26"/>
      <c r="F557" s="26"/>
      <c r="G557" s="26"/>
      <c r="H557" s="26"/>
      <c r="I557" s="26"/>
      <c r="J557" s="26"/>
      <c r="K557" s="27"/>
      <c r="L557" s="26"/>
      <c r="M557" s="26"/>
      <c r="N557" s="26"/>
      <c r="O557" s="26"/>
      <c r="P557" s="26"/>
    </row>
    <row r="558">
      <c r="A558" s="26"/>
      <c r="B558" s="26"/>
      <c r="C558" s="26"/>
      <c r="D558" s="26"/>
      <c r="E558" s="26"/>
      <c r="F558" s="26"/>
      <c r="G558" s="26"/>
      <c r="H558" s="26"/>
      <c r="I558" s="26"/>
      <c r="J558" s="26"/>
      <c r="K558" s="27"/>
      <c r="L558" s="26"/>
      <c r="M558" s="26"/>
      <c r="N558" s="26"/>
      <c r="O558" s="26"/>
      <c r="P558" s="26"/>
    </row>
    <row r="559">
      <c r="A559" s="26"/>
      <c r="B559" s="26"/>
      <c r="C559" s="26"/>
      <c r="D559" s="26"/>
      <c r="E559" s="26"/>
      <c r="F559" s="26"/>
      <c r="G559" s="26"/>
      <c r="H559" s="26"/>
      <c r="I559" s="26"/>
      <c r="J559" s="26"/>
      <c r="K559" s="27"/>
      <c r="L559" s="26"/>
      <c r="M559" s="26"/>
      <c r="N559" s="26"/>
      <c r="O559" s="26"/>
      <c r="P559" s="26"/>
    </row>
    <row r="560">
      <c r="A560" s="26"/>
      <c r="B560" s="26"/>
      <c r="C560" s="26"/>
      <c r="D560" s="26"/>
      <c r="E560" s="26"/>
      <c r="F560" s="26"/>
      <c r="G560" s="26"/>
      <c r="H560" s="26"/>
      <c r="I560" s="26"/>
      <c r="J560" s="26"/>
      <c r="K560" s="27"/>
      <c r="L560" s="26"/>
      <c r="M560" s="26"/>
      <c r="N560" s="26"/>
      <c r="O560" s="26"/>
      <c r="P560" s="26"/>
    </row>
    <row r="561">
      <c r="A561" s="26"/>
      <c r="B561" s="26"/>
      <c r="C561" s="26"/>
      <c r="D561" s="26"/>
      <c r="E561" s="26"/>
      <c r="F561" s="26"/>
      <c r="G561" s="26"/>
      <c r="H561" s="26"/>
      <c r="I561" s="26"/>
      <c r="J561" s="26"/>
      <c r="K561" s="27"/>
      <c r="L561" s="26"/>
      <c r="M561" s="26"/>
      <c r="N561" s="26"/>
      <c r="O561" s="26"/>
      <c r="P561" s="26"/>
    </row>
    <row r="562">
      <c r="A562" s="26"/>
      <c r="B562" s="26"/>
      <c r="C562" s="26"/>
      <c r="D562" s="26"/>
      <c r="E562" s="26"/>
      <c r="F562" s="26"/>
      <c r="G562" s="26"/>
      <c r="H562" s="26"/>
      <c r="I562" s="26"/>
      <c r="J562" s="26"/>
      <c r="K562" s="27"/>
      <c r="L562" s="26"/>
      <c r="M562" s="26"/>
      <c r="N562" s="26"/>
      <c r="O562" s="26"/>
      <c r="P562" s="26"/>
    </row>
    <row r="563">
      <c r="A563" s="26"/>
      <c r="B563" s="26"/>
      <c r="C563" s="26"/>
      <c r="D563" s="26"/>
      <c r="E563" s="26"/>
      <c r="F563" s="26"/>
      <c r="G563" s="26"/>
      <c r="H563" s="26"/>
      <c r="I563" s="26"/>
      <c r="J563" s="26"/>
      <c r="K563" s="27"/>
      <c r="L563" s="26"/>
      <c r="M563" s="26"/>
      <c r="N563" s="26"/>
      <c r="O563" s="26"/>
      <c r="P563" s="26"/>
    </row>
    <row r="564">
      <c r="A564" s="26"/>
      <c r="B564" s="26"/>
      <c r="C564" s="26"/>
      <c r="D564" s="26"/>
      <c r="E564" s="26"/>
      <c r="F564" s="26"/>
      <c r="G564" s="26"/>
      <c r="H564" s="26"/>
      <c r="I564" s="26"/>
      <c r="J564" s="26"/>
      <c r="K564" s="27"/>
      <c r="L564" s="26"/>
      <c r="M564" s="26"/>
      <c r="N564" s="26"/>
      <c r="O564" s="26"/>
      <c r="P564" s="26"/>
    </row>
    <row r="565">
      <c r="A565" s="26"/>
      <c r="B565" s="26"/>
      <c r="C565" s="26"/>
      <c r="D565" s="26"/>
      <c r="E565" s="26"/>
      <c r="F565" s="26"/>
      <c r="G565" s="26"/>
      <c r="H565" s="26"/>
      <c r="I565" s="26"/>
      <c r="J565" s="26"/>
      <c r="K565" s="27"/>
      <c r="L565" s="26"/>
      <c r="M565" s="26"/>
      <c r="N565" s="26"/>
      <c r="O565" s="26"/>
      <c r="P565" s="26"/>
    </row>
    <row r="566">
      <c r="A566" s="26"/>
      <c r="B566" s="26"/>
      <c r="C566" s="26"/>
      <c r="D566" s="26"/>
      <c r="E566" s="26"/>
      <c r="F566" s="26"/>
      <c r="G566" s="26"/>
      <c r="H566" s="26"/>
      <c r="I566" s="26"/>
      <c r="J566" s="26"/>
      <c r="K566" s="27"/>
      <c r="L566" s="26"/>
      <c r="M566" s="26"/>
      <c r="N566" s="26"/>
      <c r="O566" s="26"/>
      <c r="P566" s="26"/>
    </row>
    <row r="567">
      <c r="A567" s="26"/>
      <c r="B567" s="26"/>
      <c r="C567" s="26"/>
      <c r="D567" s="26"/>
      <c r="E567" s="26"/>
      <c r="F567" s="26"/>
      <c r="G567" s="26"/>
      <c r="H567" s="26"/>
      <c r="I567" s="26"/>
      <c r="J567" s="26"/>
      <c r="K567" s="27"/>
      <c r="L567" s="26"/>
      <c r="M567" s="26"/>
      <c r="N567" s="26"/>
      <c r="O567" s="26"/>
      <c r="P567" s="26"/>
    </row>
    <row r="568">
      <c r="A568" s="26"/>
      <c r="B568" s="26"/>
      <c r="C568" s="26"/>
      <c r="D568" s="26"/>
      <c r="E568" s="26"/>
      <c r="F568" s="26"/>
      <c r="G568" s="26"/>
      <c r="H568" s="26"/>
      <c r="I568" s="26"/>
      <c r="J568" s="26"/>
      <c r="K568" s="27"/>
      <c r="L568" s="26"/>
      <c r="M568" s="26"/>
      <c r="N568" s="26"/>
      <c r="O568" s="26"/>
      <c r="P568" s="26"/>
    </row>
    <row r="569">
      <c r="A569" s="26"/>
      <c r="B569" s="26"/>
      <c r="C569" s="26"/>
      <c r="D569" s="26"/>
      <c r="E569" s="26"/>
      <c r="F569" s="26"/>
      <c r="G569" s="26"/>
      <c r="H569" s="26"/>
      <c r="I569" s="26"/>
      <c r="J569" s="26"/>
      <c r="K569" s="27"/>
      <c r="L569" s="26"/>
      <c r="M569" s="26"/>
      <c r="N569" s="26"/>
      <c r="O569" s="26"/>
      <c r="P569" s="26"/>
    </row>
    <row r="570">
      <c r="A570" s="26"/>
      <c r="B570" s="26"/>
      <c r="C570" s="26"/>
      <c r="D570" s="26"/>
      <c r="E570" s="26"/>
      <c r="F570" s="26"/>
      <c r="G570" s="26"/>
      <c r="H570" s="26"/>
      <c r="I570" s="26"/>
      <c r="J570" s="26"/>
      <c r="K570" s="27"/>
      <c r="L570" s="26"/>
      <c r="M570" s="26"/>
      <c r="N570" s="26"/>
      <c r="O570" s="26"/>
      <c r="P570" s="26"/>
    </row>
    <row r="571">
      <c r="A571" s="26"/>
      <c r="B571" s="26"/>
      <c r="C571" s="26"/>
      <c r="D571" s="26"/>
      <c r="E571" s="26"/>
      <c r="F571" s="26"/>
      <c r="G571" s="26"/>
      <c r="H571" s="26"/>
      <c r="I571" s="26"/>
      <c r="J571" s="26"/>
      <c r="K571" s="27"/>
      <c r="L571" s="26"/>
      <c r="M571" s="26"/>
      <c r="N571" s="26"/>
      <c r="O571" s="26"/>
      <c r="P571" s="26"/>
    </row>
    <row r="572">
      <c r="A572" s="26"/>
      <c r="B572" s="26"/>
      <c r="C572" s="26"/>
      <c r="D572" s="26"/>
      <c r="E572" s="26"/>
      <c r="F572" s="26"/>
      <c r="G572" s="26"/>
      <c r="H572" s="26"/>
      <c r="I572" s="26"/>
      <c r="J572" s="26"/>
      <c r="K572" s="27"/>
      <c r="L572" s="26"/>
      <c r="M572" s="26"/>
      <c r="N572" s="26"/>
      <c r="O572" s="26"/>
      <c r="P572" s="26"/>
    </row>
    <row r="573">
      <c r="A573" s="26"/>
      <c r="B573" s="26"/>
      <c r="C573" s="26"/>
      <c r="D573" s="26"/>
      <c r="E573" s="26"/>
      <c r="F573" s="26"/>
      <c r="G573" s="26"/>
      <c r="H573" s="26"/>
      <c r="I573" s="26"/>
      <c r="J573" s="26"/>
      <c r="K573" s="27"/>
      <c r="L573" s="26"/>
      <c r="M573" s="26"/>
      <c r="N573" s="26"/>
      <c r="O573" s="26"/>
      <c r="P573" s="26"/>
    </row>
    <row r="574">
      <c r="A574" s="26"/>
      <c r="B574" s="26"/>
      <c r="C574" s="26"/>
      <c r="D574" s="26"/>
      <c r="E574" s="26"/>
      <c r="F574" s="26"/>
      <c r="G574" s="26"/>
      <c r="H574" s="26"/>
      <c r="I574" s="26"/>
      <c r="J574" s="26"/>
      <c r="K574" s="27"/>
      <c r="L574" s="26"/>
      <c r="M574" s="26"/>
      <c r="N574" s="26"/>
      <c r="O574" s="26"/>
      <c r="P574" s="26"/>
    </row>
    <row r="575">
      <c r="A575" s="26"/>
      <c r="B575" s="26"/>
      <c r="C575" s="26"/>
      <c r="D575" s="26"/>
      <c r="E575" s="26"/>
      <c r="F575" s="26"/>
      <c r="G575" s="26"/>
      <c r="H575" s="26"/>
      <c r="I575" s="26"/>
      <c r="J575" s="26"/>
      <c r="K575" s="27"/>
      <c r="L575" s="26"/>
      <c r="M575" s="26"/>
      <c r="N575" s="26"/>
      <c r="O575" s="26"/>
      <c r="P575" s="26"/>
    </row>
    <row r="576">
      <c r="A576" s="26"/>
      <c r="B576" s="26"/>
      <c r="C576" s="26"/>
      <c r="D576" s="26"/>
      <c r="E576" s="26"/>
      <c r="F576" s="26"/>
      <c r="G576" s="26"/>
      <c r="H576" s="26"/>
      <c r="I576" s="26"/>
      <c r="J576" s="26"/>
      <c r="K576" s="27"/>
      <c r="L576" s="26"/>
      <c r="M576" s="26"/>
      <c r="N576" s="26"/>
      <c r="O576" s="26"/>
      <c r="P576" s="26"/>
    </row>
    <row r="577">
      <c r="A577" s="26"/>
      <c r="B577" s="26"/>
      <c r="C577" s="26"/>
      <c r="D577" s="26"/>
      <c r="E577" s="26"/>
      <c r="F577" s="26"/>
      <c r="G577" s="26"/>
      <c r="H577" s="26"/>
      <c r="I577" s="26"/>
      <c r="J577" s="26"/>
      <c r="K577" s="27"/>
      <c r="L577" s="26"/>
      <c r="M577" s="26"/>
      <c r="N577" s="26"/>
      <c r="O577" s="26"/>
      <c r="P577" s="26"/>
    </row>
    <row r="578">
      <c r="A578" s="26"/>
      <c r="B578" s="26"/>
      <c r="C578" s="26"/>
      <c r="D578" s="26"/>
      <c r="E578" s="26"/>
      <c r="F578" s="26"/>
      <c r="G578" s="26"/>
      <c r="H578" s="26"/>
      <c r="I578" s="26"/>
      <c r="J578" s="26"/>
      <c r="K578" s="27"/>
      <c r="L578" s="26"/>
      <c r="M578" s="26"/>
      <c r="N578" s="26"/>
      <c r="O578" s="26"/>
      <c r="P578" s="26"/>
    </row>
    <row r="579">
      <c r="A579" s="26"/>
      <c r="B579" s="26"/>
      <c r="C579" s="26"/>
      <c r="D579" s="26"/>
      <c r="E579" s="26"/>
      <c r="F579" s="26"/>
      <c r="G579" s="26"/>
      <c r="H579" s="26"/>
      <c r="I579" s="26"/>
      <c r="J579" s="26"/>
      <c r="K579" s="27"/>
      <c r="L579" s="26"/>
      <c r="M579" s="26"/>
      <c r="N579" s="26"/>
      <c r="O579" s="26"/>
      <c r="P579" s="26"/>
    </row>
    <row r="580">
      <c r="A580" s="26"/>
      <c r="B580" s="26"/>
      <c r="C580" s="26"/>
      <c r="D580" s="26"/>
      <c r="E580" s="26"/>
      <c r="F580" s="26"/>
      <c r="G580" s="26"/>
      <c r="H580" s="26"/>
      <c r="I580" s="26"/>
      <c r="J580" s="26"/>
      <c r="K580" s="27"/>
      <c r="L580" s="26"/>
      <c r="M580" s="26"/>
      <c r="N580" s="26"/>
      <c r="O580" s="26"/>
      <c r="P580" s="26"/>
    </row>
    <row r="581">
      <c r="A581" s="26"/>
      <c r="B581" s="26"/>
      <c r="C581" s="26"/>
      <c r="D581" s="26"/>
      <c r="E581" s="26"/>
      <c r="F581" s="26"/>
      <c r="G581" s="26"/>
      <c r="H581" s="26"/>
      <c r="I581" s="26"/>
      <c r="J581" s="26"/>
      <c r="K581" s="27"/>
      <c r="L581" s="26"/>
      <c r="M581" s="26"/>
      <c r="N581" s="26"/>
      <c r="O581" s="26"/>
      <c r="P581" s="26"/>
    </row>
    <row r="582">
      <c r="A582" s="26"/>
      <c r="B582" s="26"/>
      <c r="C582" s="26"/>
      <c r="D582" s="26"/>
      <c r="E582" s="26"/>
      <c r="F582" s="26"/>
      <c r="G582" s="26"/>
      <c r="H582" s="26"/>
      <c r="I582" s="26"/>
      <c r="J582" s="26"/>
      <c r="K582" s="27"/>
      <c r="L582" s="26"/>
      <c r="M582" s="26"/>
      <c r="N582" s="26"/>
      <c r="O582" s="26"/>
      <c r="P582" s="26"/>
    </row>
    <row r="583">
      <c r="A583" s="26"/>
      <c r="B583" s="26"/>
      <c r="C583" s="26"/>
      <c r="D583" s="26"/>
      <c r="E583" s="26"/>
      <c r="F583" s="26"/>
      <c r="G583" s="26"/>
      <c r="H583" s="26"/>
      <c r="I583" s="26"/>
      <c r="J583" s="26"/>
      <c r="K583" s="27"/>
      <c r="L583" s="26"/>
      <c r="M583" s="26"/>
      <c r="N583" s="26"/>
      <c r="O583" s="26"/>
      <c r="P583" s="26"/>
    </row>
    <row r="584">
      <c r="A584" s="26"/>
      <c r="B584" s="26"/>
      <c r="C584" s="26"/>
      <c r="D584" s="26"/>
      <c r="E584" s="26"/>
      <c r="F584" s="26"/>
      <c r="G584" s="26"/>
      <c r="H584" s="26"/>
      <c r="I584" s="26"/>
      <c r="J584" s="26"/>
      <c r="K584" s="27"/>
      <c r="L584" s="26"/>
      <c r="M584" s="26"/>
      <c r="N584" s="26"/>
      <c r="O584" s="26"/>
      <c r="P584" s="26"/>
    </row>
    <row r="585">
      <c r="A585" s="26"/>
      <c r="B585" s="26"/>
      <c r="C585" s="26"/>
      <c r="D585" s="26"/>
      <c r="E585" s="26"/>
      <c r="F585" s="26"/>
      <c r="G585" s="26"/>
      <c r="H585" s="26"/>
      <c r="I585" s="26"/>
      <c r="J585" s="26"/>
      <c r="K585" s="27"/>
      <c r="L585" s="26"/>
      <c r="M585" s="26"/>
      <c r="N585" s="26"/>
      <c r="O585" s="26"/>
      <c r="P585" s="26"/>
    </row>
    <row r="586">
      <c r="A586" s="26"/>
      <c r="B586" s="26"/>
      <c r="C586" s="26"/>
      <c r="D586" s="26"/>
      <c r="E586" s="26"/>
      <c r="F586" s="26"/>
      <c r="G586" s="26"/>
      <c r="H586" s="26"/>
      <c r="I586" s="26"/>
      <c r="J586" s="26"/>
      <c r="K586" s="27"/>
      <c r="L586" s="26"/>
      <c r="M586" s="26"/>
      <c r="N586" s="26"/>
      <c r="O586" s="26"/>
      <c r="P586" s="26"/>
    </row>
    <row r="587">
      <c r="A587" s="26"/>
      <c r="B587" s="26"/>
      <c r="C587" s="26"/>
      <c r="D587" s="26"/>
      <c r="E587" s="26"/>
      <c r="F587" s="26"/>
      <c r="G587" s="26"/>
      <c r="H587" s="26"/>
      <c r="I587" s="26"/>
      <c r="J587" s="26"/>
      <c r="K587" s="27"/>
      <c r="L587" s="26"/>
      <c r="M587" s="26"/>
      <c r="N587" s="26"/>
      <c r="O587" s="26"/>
      <c r="P587" s="26"/>
    </row>
    <row r="588">
      <c r="A588" s="26"/>
      <c r="B588" s="26"/>
      <c r="C588" s="26"/>
      <c r="D588" s="26"/>
      <c r="E588" s="26"/>
      <c r="F588" s="26"/>
      <c r="G588" s="26"/>
      <c r="H588" s="26"/>
      <c r="I588" s="26"/>
      <c r="J588" s="26"/>
      <c r="K588" s="27"/>
      <c r="L588" s="26"/>
      <c r="M588" s="26"/>
      <c r="N588" s="26"/>
      <c r="O588" s="26"/>
      <c r="P588" s="26"/>
    </row>
    <row r="589">
      <c r="A589" s="26"/>
      <c r="B589" s="26"/>
      <c r="C589" s="26"/>
      <c r="D589" s="26"/>
      <c r="E589" s="26"/>
      <c r="F589" s="26"/>
      <c r="G589" s="26"/>
      <c r="H589" s="26"/>
      <c r="I589" s="26"/>
      <c r="J589" s="26"/>
      <c r="K589" s="27"/>
      <c r="L589" s="26"/>
      <c r="M589" s="26"/>
      <c r="N589" s="26"/>
      <c r="O589" s="26"/>
      <c r="P589" s="26"/>
    </row>
    <row r="590">
      <c r="A590" s="26"/>
      <c r="B590" s="26"/>
      <c r="C590" s="26"/>
      <c r="D590" s="26"/>
      <c r="E590" s="26"/>
      <c r="F590" s="26"/>
      <c r="G590" s="26"/>
      <c r="H590" s="26"/>
      <c r="I590" s="26"/>
      <c r="J590" s="26"/>
      <c r="K590" s="27"/>
      <c r="L590" s="26"/>
      <c r="M590" s="26"/>
      <c r="N590" s="26"/>
      <c r="O590" s="26"/>
      <c r="P590" s="26"/>
    </row>
    <row r="591">
      <c r="A591" s="26"/>
      <c r="B591" s="26"/>
      <c r="C591" s="26"/>
      <c r="D591" s="26"/>
      <c r="E591" s="26"/>
      <c r="F591" s="26"/>
      <c r="G591" s="26"/>
      <c r="H591" s="26"/>
      <c r="I591" s="26"/>
      <c r="J591" s="26"/>
      <c r="K591" s="27"/>
      <c r="L591" s="26"/>
      <c r="M591" s="26"/>
      <c r="N591" s="26"/>
      <c r="O591" s="26"/>
      <c r="P591" s="26"/>
    </row>
    <row r="592">
      <c r="A592" s="26"/>
      <c r="B592" s="26"/>
      <c r="C592" s="26"/>
      <c r="D592" s="26"/>
      <c r="E592" s="26"/>
      <c r="F592" s="26"/>
      <c r="G592" s="26"/>
      <c r="H592" s="26"/>
      <c r="I592" s="26"/>
      <c r="J592" s="26"/>
      <c r="K592" s="27"/>
      <c r="L592" s="26"/>
      <c r="M592" s="26"/>
      <c r="N592" s="26"/>
      <c r="O592" s="26"/>
      <c r="P592" s="26"/>
    </row>
    <row r="593">
      <c r="A593" s="26"/>
      <c r="B593" s="26"/>
      <c r="C593" s="26"/>
      <c r="D593" s="26"/>
      <c r="E593" s="26"/>
      <c r="F593" s="26"/>
      <c r="G593" s="26"/>
      <c r="H593" s="26"/>
      <c r="I593" s="26"/>
      <c r="J593" s="26"/>
      <c r="K593" s="27"/>
      <c r="L593" s="26"/>
      <c r="M593" s="26"/>
      <c r="N593" s="26"/>
      <c r="O593" s="26"/>
      <c r="P593" s="26"/>
    </row>
    <row r="594">
      <c r="A594" s="26"/>
      <c r="B594" s="26"/>
      <c r="C594" s="26"/>
      <c r="D594" s="26"/>
      <c r="E594" s="26"/>
      <c r="F594" s="26"/>
      <c r="G594" s="26"/>
      <c r="H594" s="26"/>
      <c r="I594" s="26"/>
      <c r="J594" s="26"/>
      <c r="K594" s="27"/>
      <c r="L594" s="26"/>
      <c r="M594" s="26"/>
      <c r="N594" s="26"/>
      <c r="O594" s="26"/>
      <c r="P594" s="26"/>
    </row>
    <row r="595">
      <c r="A595" s="26"/>
      <c r="B595" s="26"/>
      <c r="C595" s="26"/>
      <c r="D595" s="26"/>
      <c r="E595" s="26"/>
      <c r="F595" s="26"/>
      <c r="G595" s="26"/>
      <c r="H595" s="26"/>
      <c r="I595" s="26"/>
      <c r="J595" s="26"/>
      <c r="K595" s="27"/>
      <c r="L595" s="26"/>
      <c r="M595" s="26"/>
      <c r="N595" s="26"/>
      <c r="O595" s="26"/>
      <c r="P595" s="26"/>
    </row>
    <row r="596">
      <c r="A596" s="26"/>
      <c r="B596" s="26"/>
      <c r="C596" s="26"/>
      <c r="D596" s="26"/>
      <c r="E596" s="26"/>
      <c r="F596" s="26"/>
      <c r="G596" s="26"/>
      <c r="H596" s="26"/>
      <c r="I596" s="26"/>
      <c r="J596" s="26"/>
      <c r="K596" s="27"/>
      <c r="L596" s="26"/>
      <c r="M596" s="26"/>
      <c r="N596" s="26"/>
      <c r="O596" s="26"/>
      <c r="P596" s="26"/>
    </row>
    <row r="597">
      <c r="A597" s="26"/>
      <c r="B597" s="26"/>
      <c r="C597" s="26"/>
      <c r="D597" s="26"/>
      <c r="E597" s="26"/>
      <c r="F597" s="26"/>
      <c r="G597" s="26"/>
      <c r="H597" s="26"/>
      <c r="I597" s="26"/>
      <c r="J597" s="26"/>
      <c r="K597" s="27"/>
      <c r="L597" s="26"/>
      <c r="M597" s="26"/>
      <c r="N597" s="26"/>
      <c r="O597" s="26"/>
      <c r="P597" s="26"/>
    </row>
    <row r="598">
      <c r="A598" s="26"/>
      <c r="B598" s="26"/>
      <c r="C598" s="26"/>
      <c r="D598" s="26"/>
      <c r="E598" s="26"/>
      <c r="F598" s="26"/>
      <c r="G598" s="26"/>
      <c r="H598" s="26"/>
      <c r="I598" s="26"/>
      <c r="J598" s="26"/>
      <c r="K598" s="27"/>
      <c r="L598" s="26"/>
      <c r="M598" s="26"/>
      <c r="N598" s="26"/>
      <c r="O598" s="26"/>
      <c r="P598" s="26"/>
    </row>
    <row r="599">
      <c r="A599" s="26"/>
      <c r="B599" s="26"/>
      <c r="C599" s="26"/>
      <c r="D599" s="26"/>
      <c r="E599" s="26"/>
      <c r="F599" s="26"/>
      <c r="G599" s="26"/>
      <c r="H599" s="26"/>
      <c r="I599" s="26"/>
      <c r="J599" s="26"/>
      <c r="K599" s="27"/>
      <c r="L599" s="26"/>
      <c r="M599" s="26"/>
      <c r="N599" s="26"/>
      <c r="O599" s="26"/>
      <c r="P599" s="26"/>
    </row>
    <row r="600">
      <c r="A600" s="26"/>
      <c r="B600" s="26"/>
      <c r="C600" s="26"/>
      <c r="D600" s="26"/>
      <c r="E600" s="26"/>
      <c r="F600" s="26"/>
      <c r="G600" s="26"/>
      <c r="H600" s="26"/>
      <c r="I600" s="26"/>
      <c r="J600" s="26"/>
      <c r="K600" s="27"/>
      <c r="L600" s="26"/>
      <c r="M600" s="26"/>
      <c r="N600" s="26"/>
      <c r="O600" s="26"/>
      <c r="P600" s="26"/>
    </row>
    <row r="601">
      <c r="A601" s="26"/>
      <c r="B601" s="26"/>
      <c r="C601" s="26"/>
      <c r="D601" s="26"/>
      <c r="E601" s="26"/>
      <c r="F601" s="26"/>
      <c r="G601" s="26"/>
      <c r="H601" s="26"/>
      <c r="I601" s="26"/>
      <c r="J601" s="26"/>
      <c r="K601" s="27"/>
      <c r="L601" s="26"/>
      <c r="M601" s="26"/>
      <c r="N601" s="26"/>
      <c r="O601" s="26"/>
      <c r="P601" s="26"/>
    </row>
    <row r="602">
      <c r="A602" s="26"/>
      <c r="B602" s="26"/>
      <c r="C602" s="26"/>
      <c r="D602" s="26"/>
      <c r="E602" s="26"/>
      <c r="F602" s="26"/>
      <c r="G602" s="26"/>
      <c r="H602" s="26"/>
      <c r="I602" s="26"/>
      <c r="J602" s="26"/>
      <c r="K602" s="27"/>
      <c r="L602" s="26"/>
      <c r="M602" s="26"/>
      <c r="N602" s="26"/>
      <c r="O602" s="26"/>
      <c r="P602" s="26"/>
    </row>
    <row r="603">
      <c r="A603" s="26"/>
      <c r="B603" s="26"/>
      <c r="C603" s="26"/>
      <c r="D603" s="26"/>
      <c r="E603" s="26"/>
      <c r="F603" s="26"/>
      <c r="G603" s="26"/>
      <c r="H603" s="26"/>
      <c r="I603" s="26"/>
      <c r="J603" s="26"/>
      <c r="K603" s="27"/>
      <c r="L603" s="26"/>
      <c r="M603" s="26"/>
      <c r="N603" s="26"/>
      <c r="O603" s="26"/>
      <c r="P603" s="26"/>
    </row>
    <row r="604">
      <c r="A604" s="26"/>
      <c r="B604" s="26"/>
      <c r="C604" s="26"/>
      <c r="D604" s="26"/>
      <c r="E604" s="26"/>
      <c r="F604" s="26"/>
      <c r="G604" s="26"/>
      <c r="H604" s="26"/>
      <c r="I604" s="26"/>
      <c r="J604" s="26"/>
      <c r="K604" s="27"/>
      <c r="L604" s="26"/>
      <c r="M604" s="26"/>
      <c r="N604" s="26"/>
      <c r="O604" s="26"/>
      <c r="P604" s="26"/>
    </row>
    <row r="605">
      <c r="A605" s="26"/>
      <c r="B605" s="26"/>
      <c r="C605" s="26"/>
      <c r="D605" s="26"/>
      <c r="E605" s="26"/>
      <c r="F605" s="26"/>
      <c r="G605" s="26"/>
      <c r="H605" s="26"/>
      <c r="I605" s="26"/>
      <c r="J605" s="26"/>
      <c r="K605" s="27"/>
      <c r="L605" s="26"/>
      <c r="M605" s="26"/>
      <c r="N605" s="26"/>
      <c r="O605" s="26"/>
      <c r="P605" s="26"/>
    </row>
    <row r="606">
      <c r="A606" s="26"/>
      <c r="B606" s="26"/>
      <c r="C606" s="26"/>
      <c r="D606" s="26"/>
      <c r="E606" s="26"/>
      <c r="F606" s="26"/>
      <c r="G606" s="26"/>
      <c r="H606" s="26"/>
      <c r="I606" s="26"/>
      <c r="J606" s="26"/>
      <c r="K606" s="27"/>
      <c r="L606" s="26"/>
      <c r="M606" s="26"/>
      <c r="N606" s="26"/>
      <c r="O606" s="26"/>
      <c r="P606" s="26"/>
    </row>
    <row r="607">
      <c r="A607" s="26"/>
      <c r="B607" s="26"/>
      <c r="C607" s="26"/>
      <c r="D607" s="26"/>
      <c r="E607" s="26"/>
      <c r="F607" s="26"/>
      <c r="G607" s="26"/>
      <c r="H607" s="26"/>
      <c r="I607" s="26"/>
      <c r="J607" s="26"/>
      <c r="K607" s="27"/>
      <c r="L607" s="26"/>
      <c r="M607" s="26"/>
      <c r="N607" s="26"/>
      <c r="O607" s="26"/>
      <c r="P607" s="26"/>
    </row>
    <row r="608">
      <c r="A608" s="26"/>
      <c r="B608" s="26"/>
      <c r="C608" s="26"/>
      <c r="D608" s="26"/>
      <c r="E608" s="26"/>
      <c r="F608" s="26"/>
      <c r="G608" s="26"/>
      <c r="H608" s="26"/>
      <c r="I608" s="26"/>
      <c r="J608" s="26"/>
      <c r="K608" s="27"/>
      <c r="L608" s="26"/>
      <c r="M608" s="26"/>
      <c r="N608" s="26"/>
      <c r="O608" s="26"/>
      <c r="P608" s="26"/>
    </row>
    <row r="609">
      <c r="A609" s="26"/>
      <c r="B609" s="26"/>
      <c r="C609" s="26"/>
      <c r="D609" s="26"/>
      <c r="E609" s="26"/>
      <c r="F609" s="26"/>
      <c r="G609" s="26"/>
      <c r="H609" s="26"/>
      <c r="I609" s="26"/>
      <c r="J609" s="26"/>
      <c r="K609" s="27"/>
      <c r="L609" s="26"/>
      <c r="M609" s="26"/>
      <c r="N609" s="26"/>
      <c r="O609" s="26"/>
      <c r="P609" s="26"/>
    </row>
    <row r="610">
      <c r="A610" s="26"/>
      <c r="B610" s="26"/>
      <c r="C610" s="26"/>
      <c r="D610" s="26"/>
      <c r="E610" s="26"/>
      <c r="F610" s="26"/>
      <c r="G610" s="26"/>
      <c r="H610" s="26"/>
      <c r="I610" s="26"/>
      <c r="J610" s="26"/>
      <c r="K610" s="27"/>
      <c r="L610" s="26"/>
      <c r="M610" s="26"/>
      <c r="N610" s="26"/>
      <c r="O610" s="26"/>
      <c r="P610" s="26"/>
    </row>
    <row r="611">
      <c r="A611" s="26"/>
      <c r="B611" s="26"/>
      <c r="C611" s="26"/>
      <c r="D611" s="26"/>
      <c r="E611" s="26"/>
      <c r="F611" s="26"/>
      <c r="G611" s="26"/>
      <c r="H611" s="26"/>
      <c r="I611" s="26"/>
      <c r="J611" s="26"/>
      <c r="K611" s="27"/>
      <c r="L611" s="26"/>
      <c r="M611" s="26"/>
      <c r="N611" s="26"/>
      <c r="O611" s="26"/>
      <c r="P611" s="26"/>
    </row>
    <row r="612">
      <c r="A612" s="26"/>
      <c r="B612" s="26"/>
      <c r="C612" s="26"/>
      <c r="D612" s="26"/>
      <c r="E612" s="26"/>
      <c r="F612" s="26"/>
      <c r="G612" s="26"/>
      <c r="H612" s="26"/>
      <c r="I612" s="26"/>
      <c r="J612" s="26"/>
      <c r="K612" s="27"/>
      <c r="L612" s="26"/>
      <c r="M612" s="26"/>
      <c r="N612" s="26"/>
      <c r="O612" s="26"/>
      <c r="P612" s="26"/>
    </row>
    <row r="613">
      <c r="A613" s="26"/>
      <c r="B613" s="26"/>
      <c r="C613" s="26"/>
      <c r="D613" s="26"/>
      <c r="E613" s="26"/>
      <c r="F613" s="26"/>
      <c r="G613" s="26"/>
      <c r="H613" s="26"/>
      <c r="I613" s="26"/>
      <c r="J613" s="26"/>
      <c r="K613" s="27"/>
      <c r="L613" s="26"/>
      <c r="M613" s="26"/>
      <c r="N613" s="26"/>
      <c r="O613" s="26"/>
      <c r="P613" s="26"/>
    </row>
    <row r="614">
      <c r="A614" s="26"/>
      <c r="B614" s="26"/>
      <c r="C614" s="26"/>
      <c r="D614" s="26"/>
      <c r="E614" s="26"/>
      <c r="F614" s="26"/>
      <c r="G614" s="26"/>
      <c r="H614" s="26"/>
      <c r="I614" s="26"/>
      <c r="J614" s="26"/>
      <c r="K614" s="27"/>
      <c r="L614" s="26"/>
      <c r="M614" s="26"/>
      <c r="N614" s="26"/>
      <c r="O614" s="26"/>
      <c r="P614" s="26"/>
    </row>
    <row r="615">
      <c r="A615" s="26"/>
      <c r="B615" s="26"/>
      <c r="C615" s="26"/>
      <c r="D615" s="26"/>
      <c r="E615" s="26"/>
      <c r="F615" s="26"/>
      <c r="G615" s="26"/>
      <c r="H615" s="26"/>
      <c r="I615" s="26"/>
      <c r="J615" s="26"/>
      <c r="K615" s="27"/>
      <c r="L615" s="26"/>
      <c r="M615" s="26"/>
      <c r="N615" s="26"/>
      <c r="O615" s="26"/>
      <c r="P615" s="26"/>
    </row>
    <row r="616">
      <c r="A616" s="26"/>
      <c r="B616" s="26"/>
      <c r="C616" s="26"/>
      <c r="D616" s="26"/>
      <c r="E616" s="26"/>
      <c r="F616" s="26"/>
      <c r="G616" s="26"/>
      <c r="H616" s="26"/>
      <c r="I616" s="26"/>
      <c r="J616" s="26"/>
      <c r="K616" s="27"/>
      <c r="L616" s="26"/>
      <c r="M616" s="26"/>
      <c r="N616" s="26"/>
      <c r="O616" s="26"/>
      <c r="P616" s="26"/>
    </row>
    <row r="617">
      <c r="A617" s="26"/>
      <c r="B617" s="26"/>
      <c r="C617" s="26"/>
      <c r="D617" s="26"/>
      <c r="E617" s="26"/>
      <c r="F617" s="26"/>
      <c r="G617" s="26"/>
      <c r="H617" s="26"/>
      <c r="I617" s="26"/>
      <c r="J617" s="26"/>
      <c r="K617" s="27"/>
      <c r="L617" s="26"/>
      <c r="M617" s="26"/>
      <c r="N617" s="26"/>
      <c r="O617" s="26"/>
      <c r="P617" s="26"/>
    </row>
    <row r="618">
      <c r="A618" s="26"/>
      <c r="B618" s="26"/>
      <c r="C618" s="26"/>
      <c r="D618" s="26"/>
      <c r="E618" s="26"/>
      <c r="F618" s="26"/>
      <c r="G618" s="26"/>
      <c r="H618" s="26"/>
      <c r="I618" s="26"/>
      <c r="J618" s="26"/>
      <c r="K618" s="27"/>
      <c r="L618" s="26"/>
      <c r="M618" s="26"/>
      <c r="N618" s="26"/>
      <c r="O618" s="26"/>
      <c r="P618" s="26"/>
    </row>
    <row r="619">
      <c r="A619" s="26"/>
      <c r="B619" s="26"/>
      <c r="C619" s="26"/>
      <c r="D619" s="26"/>
      <c r="E619" s="26"/>
      <c r="F619" s="26"/>
      <c r="G619" s="26"/>
      <c r="H619" s="26"/>
      <c r="I619" s="26"/>
      <c r="J619" s="26"/>
      <c r="K619" s="27"/>
      <c r="L619" s="26"/>
      <c r="M619" s="26"/>
      <c r="N619" s="26"/>
      <c r="O619" s="26"/>
      <c r="P619" s="26"/>
    </row>
    <row r="620">
      <c r="A620" s="26"/>
      <c r="B620" s="26"/>
      <c r="C620" s="26"/>
      <c r="D620" s="26"/>
      <c r="E620" s="26"/>
      <c r="F620" s="26"/>
      <c r="G620" s="26"/>
      <c r="H620" s="26"/>
      <c r="I620" s="26"/>
      <c r="J620" s="26"/>
      <c r="K620" s="27"/>
      <c r="L620" s="26"/>
      <c r="M620" s="26"/>
      <c r="N620" s="26"/>
      <c r="O620" s="26"/>
      <c r="P620" s="26"/>
    </row>
    <row r="621">
      <c r="A621" s="26"/>
      <c r="B621" s="26"/>
      <c r="C621" s="26"/>
      <c r="D621" s="26"/>
      <c r="E621" s="26"/>
      <c r="F621" s="26"/>
      <c r="G621" s="26"/>
      <c r="H621" s="26"/>
      <c r="I621" s="26"/>
      <c r="J621" s="26"/>
      <c r="K621" s="27"/>
      <c r="L621" s="26"/>
      <c r="M621" s="26"/>
      <c r="N621" s="26"/>
      <c r="O621" s="26"/>
      <c r="P621" s="26"/>
    </row>
    <row r="622">
      <c r="A622" s="26"/>
      <c r="B622" s="26"/>
      <c r="C622" s="26"/>
      <c r="D622" s="26"/>
      <c r="E622" s="26"/>
      <c r="F622" s="26"/>
      <c r="G622" s="26"/>
      <c r="H622" s="26"/>
      <c r="I622" s="26"/>
      <c r="J622" s="26"/>
      <c r="K622" s="27"/>
      <c r="L622" s="26"/>
      <c r="M622" s="26"/>
      <c r="N622" s="26"/>
      <c r="O622" s="26"/>
      <c r="P622" s="26"/>
    </row>
    <row r="623">
      <c r="A623" s="26"/>
      <c r="B623" s="26"/>
      <c r="C623" s="26"/>
      <c r="D623" s="26"/>
      <c r="E623" s="26"/>
      <c r="F623" s="26"/>
      <c r="G623" s="26"/>
      <c r="H623" s="26"/>
      <c r="I623" s="26"/>
      <c r="J623" s="26"/>
      <c r="K623" s="27"/>
      <c r="L623" s="26"/>
      <c r="M623" s="26"/>
      <c r="N623" s="26"/>
      <c r="O623" s="26"/>
      <c r="P623" s="26"/>
    </row>
    <row r="624">
      <c r="A624" s="26"/>
      <c r="B624" s="26"/>
      <c r="C624" s="26"/>
      <c r="D624" s="26"/>
      <c r="E624" s="26"/>
      <c r="F624" s="26"/>
      <c r="G624" s="26"/>
      <c r="H624" s="26"/>
      <c r="I624" s="26"/>
      <c r="J624" s="26"/>
      <c r="K624" s="27"/>
      <c r="L624" s="26"/>
      <c r="M624" s="26"/>
      <c r="N624" s="26"/>
      <c r="O624" s="26"/>
      <c r="P624" s="26"/>
    </row>
    <row r="625">
      <c r="A625" s="26"/>
      <c r="B625" s="26"/>
      <c r="C625" s="26"/>
      <c r="D625" s="26"/>
      <c r="E625" s="26"/>
      <c r="F625" s="26"/>
      <c r="G625" s="26"/>
      <c r="H625" s="26"/>
      <c r="I625" s="26"/>
      <c r="J625" s="26"/>
      <c r="K625" s="27"/>
      <c r="L625" s="26"/>
      <c r="M625" s="26"/>
      <c r="N625" s="26"/>
      <c r="O625" s="26"/>
      <c r="P625" s="26"/>
    </row>
    <row r="626">
      <c r="A626" s="26"/>
      <c r="B626" s="26"/>
      <c r="C626" s="26"/>
      <c r="D626" s="26"/>
      <c r="E626" s="26"/>
      <c r="F626" s="26"/>
      <c r="G626" s="26"/>
      <c r="H626" s="26"/>
      <c r="I626" s="26"/>
      <c r="J626" s="26"/>
      <c r="K626" s="27"/>
      <c r="L626" s="26"/>
      <c r="M626" s="26"/>
      <c r="N626" s="26"/>
      <c r="O626" s="26"/>
      <c r="P626" s="26"/>
    </row>
    <row r="627">
      <c r="A627" s="26"/>
      <c r="B627" s="26"/>
      <c r="C627" s="26"/>
      <c r="D627" s="26"/>
      <c r="E627" s="26"/>
      <c r="F627" s="26"/>
      <c r="G627" s="26"/>
      <c r="H627" s="26"/>
      <c r="I627" s="26"/>
      <c r="J627" s="26"/>
      <c r="K627" s="27"/>
      <c r="L627" s="26"/>
      <c r="M627" s="26"/>
      <c r="N627" s="26"/>
      <c r="O627" s="26"/>
      <c r="P627" s="26"/>
    </row>
    <row r="628">
      <c r="A628" s="26"/>
      <c r="B628" s="26"/>
      <c r="C628" s="26"/>
      <c r="D628" s="26"/>
      <c r="E628" s="26"/>
      <c r="F628" s="26"/>
      <c r="G628" s="26"/>
      <c r="H628" s="26"/>
      <c r="I628" s="26"/>
      <c r="J628" s="26"/>
      <c r="K628" s="27"/>
      <c r="L628" s="26"/>
      <c r="M628" s="26"/>
      <c r="N628" s="26"/>
      <c r="O628" s="26"/>
      <c r="P628" s="26"/>
    </row>
    <row r="629">
      <c r="A629" s="26"/>
      <c r="B629" s="26"/>
      <c r="C629" s="26"/>
      <c r="D629" s="26"/>
      <c r="E629" s="26"/>
      <c r="F629" s="26"/>
      <c r="G629" s="26"/>
      <c r="H629" s="26"/>
      <c r="I629" s="26"/>
      <c r="J629" s="26"/>
      <c r="K629" s="27"/>
      <c r="L629" s="26"/>
      <c r="M629" s="26"/>
      <c r="N629" s="26"/>
      <c r="O629" s="26"/>
      <c r="P629" s="26"/>
    </row>
    <row r="630">
      <c r="A630" s="26"/>
      <c r="B630" s="26"/>
      <c r="C630" s="26"/>
      <c r="D630" s="26"/>
      <c r="E630" s="26"/>
      <c r="F630" s="26"/>
      <c r="G630" s="26"/>
      <c r="H630" s="26"/>
      <c r="I630" s="26"/>
      <c r="J630" s="26"/>
      <c r="K630" s="27"/>
      <c r="L630" s="26"/>
      <c r="M630" s="26"/>
      <c r="N630" s="26"/>
      <c r="O630" s="26"/>
      <c r="P630" s="26"/>
    </row>
    <row r="631">
      <c r="A631" s="26"/>
      <c r="B631" s="26"/>
      <c r="C631" s="26"/>
      <c r="D631" s="26"/>
      <c r="E631" s="26"/>
      <c r="F631" s="26"/>
      <c r="G631" s="26"/>
      <c r="H631" s="26"/>
      <c r="I631" s="26"/>
      <c r="J631" s="26"/>
      <c r="K631" s="27"/>
      <c r="L631" s="26"/>
      <c r="M631" s="26"/>
      <c r="N631" s="26"/>
      <c r="O631" s="26"/>
      <c r="P631" s="26"/>
    </row>
    <row r="632">
      <c r="A632" s="26"/>
      <c r="B632" s="26"/>
      <c r="C632" s="26"/>
      <c r="D632" s="26"/>
      <c r="E632" s="26"/>
      <c r="F632" s="26"/>
      <c r="G632" s="26"/>
      <c r="H632" s="26"/>
      <c r="I632" s="26"/>
      <c r="J632" s="26"/>
      <c r="K632" s="27"/>
      <c r="L632" s="26"/>
      <c r="M632" s="26"/>
      <c r="N632" s="26"/>
      <c r="O632" s="26"/>
      <c r="P632" s="26"/>
    </row>
    <row r="633">
      <c r="A633" s="26"/>
      <c r="B633" s="26"/>
      <c r="C633" s="26"/>
      <c r="D633" s="26"/>
      <c r="E633" s="26"/>
      <c r="F633" s="26"/>
      <c r="G633" s="26"/>
      <c r="H633" s="26"/>
      <c r="I633" s="26"/>
      <c r="J633" s="26"/>
      <c r="K633" s="27"/>
      <c r="L633" s="26"/>
      <c r="M633" s="26"/>
      <c r="N633" s="26"/>
      <c r="O633" s="26"/>
      <c r="P633" s="26"/>
    </row>
    <row r="634">
      <c r="A634" s="26"/>
      <c r="B634" s="26"/>
      <c r="C634" s="26"/>
      <c r="D634" s="26"/>
      <c r="E634" s="26"/>
      <c r="F634" s="26"/>
      <c r="G634" s="26"/>
      <c r="H634" s="26"/>
      <c r="I634" s="26"/>
      <c r="J634" s="26"/>
      <c r="K634" s="27"/>
      <c r="L634" s="26"/>
      <c r="M634" s="26"/>
      <c r="N634" s="26"/>
      <c r="O634" s="26"/>
      <c r="P634" s="26"/>
    </row>
    <row r="635">
      <c r="A635" s="26"/>
      <c r="B635" s="26"/>
      <c r="C635" s="26"/>
      <c r="D635" s="26"/>
      <c r="E635" s="26"/>
      <c r="F635" s="26"/>
      <c r="G635" s="26"/>
      <c r="H635" s="26"/>
      <c r="I635" s="26"/>
      <c r="J635" s="26"/>
      <c r="K635" s="27"/>
      <c r="L635" s="26"/>
      <c r="M635" s="26"/>
      <c r="N635" s="26"/>
      <c r="O635" s="26"/>
      <c r="P635" s="26"/>
    </row>
    <row r="636">
      <c r="A636" s="26"/>
      <c r="B636" s="26"/>
      <c r="C636" s="26"/>
      <c r="D636" s="26"/>
      <c r="E636" s="26"/>
      <c r="F636" s="26"/>
      <c r="G636" s="26"/>
      <c r="H636" s="26"/>
      <c r="I636" s="26"/>
      <c r="J636" s="26"/>
      <c r="K636" s="27"/>
      <c r="L636" s="26"/>
      <c r="M636" s="26"/>
      <c r="N636" s="26"/>
      <c r="O636" s="26"/>
      <c r="P636" s="26"/>
    </row>
    <row r="637">
      <c r="A637" s="26"/>
      <c r="B637" s="26"/>
      <c r="C637" s="26"/>
      <c r="D637" s="26"/>
      <c r="E637" s="26"/>
      <c r="F637" s="26"/>
      <c r="G637" s="26"/>
      <c r="H637" s="26"/>
      <c r="I637" s="26"/>
      <c r="J637" s="26"/>
      <c r="K637" s="27"/>
      <c r="L637" s="26"/>
      <c r="M637" s="26"/>
      <c r="N637" s="26"/>
      <c r="O637" s="26"/>
      <c r="P637" s="26"/>
    </row>
    <row r="638">
      <c r="A638" s="26"/>
      <c r="B638" s="26"/>
      <c r="C638" s="26"/>
      <c r="D638" s="26"/>
      <c r="E638" s="26"/>
      <c r="F638" s="26"/>
      <c r="G638" s="26"/>
      <c r="H638" s="26"/>
      <c r="I638" s="26"/>
      <c r="J638" s="26"/>
      <c r="K638" s="27"/>
      <c r="L638" s="26"/>
      <c r="M638" s="26"/>
      <c r="N638" s="26"/>
      <c r="O638" s="26"/>
      <c r="P638" s="26"/>
    </row>
    <row r="639">
      <c r="A639" s="26"/>
      <c r="B639" s="26"/>
      <c r="C639" s="26"/>
      <c r="D639" s="26"/>
      <c r="E639" s="26"/>
      <c r="F639" s="26"/>
      <c r="G639" s="26"/>
      <c r="H639" s="26"/>
      <c r="I639" s="26"/>
      <c r="J639" s="26"/>
      <c r="K639" s="27"/>
      <c r="L639" s="26"/>
      <c r="M639" s="26"/>
      <c r="N639" s="26"/>
      <c r="O639" s="26"/>
      <c r="P639" s="26"/>
    </row>
    <row r="640">
      <c r="A640" s="26"/>
      <c r="B640" s="26"/>
      <c r="C640" s="26"/>
      <c r="D640" s="26"/>
      <c r="E640" s="26"/>
      <c r="F640" s="26"/>
      <c r="G640" s="26"/>
      <c r="H640" s="26"/>
      <c r="I640" s="26"/>
      <c r="J640" s="26"/>
      <c r="K640" s="27"/>
      <c r="L640" s="26"/>
      <c r="M640" s="26"/>
      <c r="N640" s="26"/>
      <c r="O640" s="26"/>
      <c r="P640" s="26"/>
    </row>
    <row r="641">
      <c r="A641" s="26"/>
      <c r="B641" s="26"/>
      <c r="C641" s="26"/>
      <c r="D641" s="26"/>
      <c r="E641" s="26"/>
      <c r="F641" s="26"/>
      <c r="G641" s="26"/>
      <c r="H641" s="26"/>
      <c r="I641" s="26"/>
      <c r="J641" s="26"/>
      <c r="K641" s="27"/>
      <c r="L641" s="26"/>
      <c r="M641" s="26"/>
      <c r="N641" s="26"/>
      <c r="O641" s="26"/>
      <c r="P641" s="26"/>
    </row>
    <row r="642">
      <c r="A642" s="26"/>
      <c r="B642" s="26"/>
      <c r="C642" s="26"/>
      <c r="D642" s="26"/>
      <c r="E642" s="26"/>
      <c r="F642" s="26"/>
      <c r="G642" s="26"/>
      <c r="H642" s="26"/>
      <c r="I642" s="26"/>
      <c r="J642" s="26"/>
      <c r="K642" s="27"/>
      <c r="L642" s="26"/>
      <c r="M642" s="26"/>
      <c r="N642" s="26"/>
      <c r="O642" s="26"/>
      <c r="P642" s="26"/>
    </row>
    <row r="643">
      <c r="A643" s="26"/>
      <c r="B643" s="26"/>
      <c r="C643" s="26"/>
      <c r="D643" s="26"/>
      <c r="E643" s="26"/>
      <c r="F643" s="26"/>
      <c r="G643" s="26"/>
      <c r="H643" s="26"/>
      <c r="I643" s="26"/>
      <c r="J643" s="26"/>
      <c r="K643" s="27"/>
      <c r="L643" s="26"/>
      <c r="M643" s="26"/>
      <c r="N643" s="26"/>
      <c r="O643" s="26"/>
      <c r="P643" s="26"/>
    </row>
    <row r="644">
      <c r="A644" s="26"/>
      <c r="B644" s="26"/>
      <c r="C644" s="26"/>
      <c r="D644" s="26"/>
      <c r="E644" s="26"/>
      <c r="F644" s="26"/>
      <c r="G644" s="26"/>
      <c r="H644" s="26"/>
      <c r="I644" s="26"/>
      <c r="J644" s="26"/>
      <c r="K644" s="27"/>
      <c r="L644" s="26"/>
      <c r="M644" s="26"/>
      <c r="N644" s="26"/>
      <c r="O644" s="26"/>
      <c r="P644" s="26"/>
    </row>
    <row r="645">
      <c r="A645" s="26"/>
      <c r="B645" s="26"/>
      <c r="C645" s="26"/>
      <c r="D645" s="26"/>
      <c r="E645" s="26"/>
      <c r="F645" s="26"/>
      <c r="G645" s="26"/>
      <c r="H645" s="26"/>
      <c r="I645" s="26"/>
      <c r="J645" s="26"/>
      <c r="K645" s="27"/>
      <c r="L645" s="26"/>
      <c r="M645" s="26"/>
      <c r="N645" s="26"/>
      <c r="O645" s="26"/>
      <c r="P645" s="26"/>
    </row>
    <row r="646">
      <c r="A646" s="26"/>
      <c r="B646" s="26"/>
      <c r="C646" s="26"/>
      <c r="D646" s="26"/>
      <c r="E646" s="26"/>
      <c r="F646" s="26"/>
      <c r="G646" s="26"/>
      <c r="H646" s="26"/>
      <c r="I646" s="26"/>
      <c r="J646" s="26"/>
      <c r="K646" s="27"/>
      <c r="L646" s="26"/>
      <c r="M646" s="26"/>
      <c r="N646" s="26"/>
      <c r="O646" s="26"/>
      <c r="P646" s="26"/>
    </row>
    <row r="647">
      <c r="A647" s="26"/>
      <c r="B647" s="26"/>
      <c r="C647" s="26"/>
      <c r="D647" s="26"/>
      <c r="E647" s="26"/>
      <c r="F647" s="26"/>
      <c r="G647" s="26"/>
      <c r="H647" s="26"/>
      <c r="I647" s="26"/>
      <c r="J647" s="26"/>
      <c r="K647" s="27"/>
      <c r="L647" s="26"/>
      <c r="M647" s="26"/>
      <c r="N647" s="26"/>
      <c r="O647" s="26"/>
      <c r="P647" s="26"/>
    </row>
    <row r="648">
      <c r="A648" s="26"/>
      <c r="B648" s="26"/>
      <c r="C648" s="26"/>
      <c r="D648" s="26"/>
      <c r="E648" s="26"/>
      <c r="F648" s="26"/>
      <c r="G648" s="26"/>
      <c r="H648" s="26"/>
      <c r="I648" s="26"/>
      <c r="J648" s="26"/>
      <c r="K648" s="27"/>
      <c r="L648" s="26"/>
      <c r="M648" s="26"/>
      <c r="N648" s="26"/>
      <c r="O648" s="26"/>
      <c r="P648" s="26"/>
    </row>
    <row r="649">
      <c r="A649" s="26"/>
      <c r="B649" s="26"/>
      <c r="C649" s="26"/>
      <c r="D649" s="26"/>
      <c r="E649" s="26"/>
      <c r="F649" s="26"/>
      <c r="G649" s="26"/>
      <c r="H649" s="26"/>
      <c r="I649" s="26"/>
      <c r="J649" s="26"/>
      <c r="K649" s="27"/>
      <c r="L649" s="26"/>
      <c r="M649" s="26"/>
      <c r="N649" s="26"/>
      <c r="O649" s="26"/>
      <c r="P649" s="26"/>
    </row>
    <row r="650">
      <c r="A650" s="26"/>
      <c r="B650" s="26"/>
      <c r="C650" s="26"/>
      <c r="D650" s="26"/>
      <c r="E650" s="26"/>
      <c r="F650" s="26"/>
      <c r="G650" s="26"/>
      <c r="H650" s="26"/>
      <c r="I650" s="26"/>
      <c r="J650" s="26"/>
      <c r="K650" s="27"/>
      <c r="L650" s="26"/>
      <c r="M650" s="26"/>
      <c r="N650" s="26"/>
      <c r="O650" s="26"/>
      <c r="P650" s="26"/>
    </row>
    <row r="651">
      <c r="A651" s="26"/>
      <c r="B651" s="26"/>
      <c r="C651" s="26"/>
      <c r="D651" s="26"/>
      <c r="E651" s="26"/>
      <c r="F651" s="26"/>
      <c r="G651" s="26"/>
      <c r="H651" s="26"/>
      <c r="I651" s="26"/>
      <c r="J651" s="26"/>
      <c r="K651" s="27"/>
      <c r="L651" s="26"/>
      <c r="M651" s="26"/>
      <c r="N651" s="26"/>
      <c r="O651" s="26"/>
      <c r="P651" s="26"/>
    </row>
    <row r="652">
      <c r="A652" s="26"/>
      <c r="B652" s="26"/>
      <c r="C652" s="26"/>
      <c r="D652" s="26"/>
      <c r="E652" s="26"/>
      <c r="F652" s="26"/>
      <c r="G652" s="26"/>
      <c r="H652" s="26"/>
      <c r="I652" s="26"/>
      <c r="J652" s="26"/>
      <c r="K652" s="27"/>
      <c r="L652" s="26"/>
      <c r="M652" s="26"/>
      <c r="N652" s="26"/>
      <c r="O652" s="26"/>
      <c r="P652" s="26"/>
    </row>
    <row r="653">
      <c r="A653" s="26"/>
      <c r="B653" s="26"/>
      <c r="C653" s="26"/>
      <c r="D653" s="26"/>
      <c r="E653" s="26"/>
      <c r="F653" s="26"/>
      <c r="G653" s="26"/>
      <c r="H653" s="26"/>
      <c r="I653" s="26"/>
      <c r="J653" s="26"/>
      <c r="K653" s="27"/>
      <c r="L653" s="26"/>
      <c r="M653" s="26"/>
      <c r="N653" s="26"/>
      <c r="O653" s="26"/>
      <c r="P653" s="26"/>
    </row>
    <row r="654">
      <c r="A654" s="26"/>
      <c r="B654" s="26"/>
      <c r="C654" s="26"/>
      <c r="D654" s="26"/>
      <c r="E654" s="26"/>
      <c r="F654" s="26"/>
      <c r="G654" s="26"/>
      <c r="H654" s="26"/>
      <c r="I654" s="26"/>
      <c r="J654" s="26"/>
      <c r="K654" s="27"/>
      <c r="L654" s="26"/>
      <c r="M654" s="26"/>
      <c r="N654" s="26"/>
      <c r="O654" s="26"/>
      <c r="P654" s="26"/>
    </row>
    <row r="655">
      <c r="A655" s="26"/>
      <c r="B655" s="26"/>
      <c r="C655" s="26"/>
      <c r="D655" s="26"/>
      <c r="E655" s="26"/>
      <c r="F655" s="26"/>
      <c r="G655" s="26"/>
      <c r="H655" s="26"/>
      <c r="I655" s="26"/>
      <c r="J655" s="26"/>
      <c r="K655" s="27"/>
      <c r="L655" s="26"/>
      <c r="M655" s="26"/>
      <c r="N655" s="26"/>
      <c r="O655" s="26"/>
      <c r="P655" s="26"/>
    </row>
    <row r="656">
      <c r="A656" s="26"/>
      <c r="B656" s="26"/>
      <c r="C656" s="26"/>
      <c r="D656" s="26"/>
      <c r="E656" s="26"/>
      <c r="F656" s="26"/>
      <c r="G656" s="26"/>
      <c r="H656" s="26"/>
      <c r="I656" s="26"/>
      <c r="J656" s="26"/>
      <c r="K656" s="27"/>
      <c r="L656" s="26"/>
      <c r="M656" s="26"/>
      <c r="N656" s="26"/>
      <c r="O656" s="26"/>
      <c r="P656" s="26"/>
    </row>
    <row r="657">
      <c r="A657" s="26"/>
      <c r="B657" s="26"/>
      <c r="C657" s="26"/>
      <c r="D657" s="26"/>
      <c r="E657" s="26"/>
      <c r="F657" s="26"/>
      <c r="G657" s="26"/>
      <c r="H657" s="26"/>
      <c r="I657" s="26"/>
      <c r="J657" s="26"/>
      <c r="K657" s="27"/>
      <c r="L657" s="26"/>
      <c r="M657" s="26"/>
      <c r="N657" s="26"/>
      <c r="O657" s="26"/>
      <c r="P657" s="26"/>
    </row>
    <row r="658">
      <c r="A658" s="26"/>
      <c r="B658" s="26"/>
      <c r="C658" s="26"/>
      <c r="D658" s="26"/>
      <c r="E658" s="26"/>
      <c r="F658" s="26"/>
      <c r="G658" s="26"/>
      <c r="H658" s="26"/>
      <c r="I658" s="26"/>
      <c r="J658" s="26"/>
      <c r="K658" s="27"/>
      <c r="L658" s="26"/>
      <c r="M658" s="26"/>
      <c r="N658" s="26"/>
      <c r="O658" s="26"/>
      <c r="P658" s="26"/>
    </row>
    <row r="659">
      <c r="A659" s="26"/>
      <c r="B659" s="26"/>
      <c r="C659" s="26"/>
      <c r="D659" s="26"/>
      <c r="E659" s="26"/>
      <c r="F659" s="26"/>
      <c r="G659" s="26"/>
      <c r="H659" s="26"/>
      <c r="I659" s="26"/>
      <c r="J659" s="26"/>
      <c r="K659" s="27"/>
      <c r="L659" s="26"/>
      <c r="M659" s="26"/>
      <c r="N659" s="26"/>
      <c r="O659" s="26"/>
      <c r="P659" s="26"/>
    </row>
    <row r="660">
      <c r="A660" s="26"/>
      <c r="B660" s="26"/>
      <c r="C660" s="26"/>
      <c r="D660" s="26"/>
      <c r="E660" s="26"/>
      <c r="F660" s="26"/>
      <c r="G660" s="26"/>
      <c r="H660" s="26"/>
      <c r="I660" s="26"/>
      <c r="J660" s="26"/>
      <c r="K660" s="27"/>
      <c r="L660" s="26"/>
      <c r="M660" s="26"/>
      <c r="N660" s="26"/>
      <c r="O660" s="26"/>
      <c r="P660" s="26"/>
    </row>
    <row r="661">
      <c r="A661" s="26"/>
      <c r="B661" s="26"/>
      <c r="C661" s="26"/>
      <c r="D661" s="26"/>
      <c r="E661" s="26"/>
      <c r="F661" s="26"/>
      <c r="G661" s="26"/>
      <c r="H661" s="26"/>
      <c r="I661" s="26"/>
      <c r="J661" s="26"/>
      <c r="K661" s="27"/>
      <c r="L661" s="26"/>
      <c r="M661" s="26"/>
      <c r="N661" s="26"/>
      <c r="O661" s="26"/>
      <c r="P661" s="26"/>
    </row>
    <row r="662">
      <c r="A662" s="26"/>
      <c r="B662" s="26"/>
      <c r="C662" s="26"/>
      <c r="D662" s="26"/>
      <c r="E662" s="26"/>
      <c r="F662" s="26"/>
      <c r="G662" s="26"/>
      <c r="H662" s="26"/>
      <c r="I662" s="26"/>
      <c r="J662" s="26"/>
      <c r="K662" s="27"/>
      <c r="L662" s="26"/>
      <c r="M662" s="26"/>
      <c r="N662" s="26"/>
      <c r="O662" s="26"/>
      <c r="P662" s="26"/>
    </row>
    <row r="663">
      <c r="A663" s="26"/>
      <c r="B663" s="26"/>
      <c r="C663" s="26"/>
      <c r="D663" s="26"/>
      <c r="E663" s="26"/>
      <c r="F663" s="26"/>
      <c r="G663" s="26"/>
      <c r="H663" s="26"/>
      <c r="I663" s="26"/>
      <c r="J663" s="26"/>
      <c r="K663" s="27"/>
      <c r="L663" s="26"/>
      <c r="M663" s="26"/>
      <c r="N663" s="26"/>
      <c r="O663" s="26"/>
      <c r="P663" s="26"/>
    </row>
    <row r="664">
      <c r="A664" s="26"/>
      <c r="B664" s="26"/>
      <c r="C664" s="26"/>
      <c r="D664" s="26"/>
      <c r="E664" s="26"/>
      <c r="F664" s="26"/>
      <c r="G664" s="26"/>
      <c r="H664" s="26"/>
      <c r="I664" s="26"/>
      <c r="J664" s="26"/>
      <c r="K664" s="27"/>
      <c r="L664" s="26"/>
      <c r="M664" s="26"/>
      <c r="N664" s="26"/>
      <c r="O664" s="26"/>
      <c r="P664" s="26"/>
    </row>
    <row r="665">
      <c r="A665" s="26"/>
      <c r="B665" s="26"/>
      <c r="C665" s="26"/>
      <c r="D665" s="26"/>
      <c r="E665" s="26"/>
      <c r="F665" s="26"/>
      <c r="G665" s="26"/>
      <c r="H665" s="26"/>
      <c r="I665" s="26"/>
      <c r="J665" s="26"/>
      <c r="K665" s="27"/>
      <c r="L665" s="26"/>
      <c r="M665" s="26"/>
      <c r="N665" s="26"/>
      <c r="O665" s="26"/>
      <c r="P665" s="26"/>
    </row>
    <row r="666">
      <c r="A666" s="26"/>
      <c r="B666" s="26"/>
      <c r="C666" s="26"/>
      <c r="D666" s="26"/>
      <c r="E666" s="26"/>
      <c r="F666" s="26"/>
      <c r="G666" s="26"/>
      <c r="H666" s="26"/>
      <c r="I666" s="26"/>
      <c r="J666" s="26"/>
      <c r="K666" s="27"/>
      <c r="L666" s="26"/>
      <c r="M666" s="26"/>
      <c r="N666" s="26"/>
      <c r="O666" s="26"/>
      <c r="P666" s="26"/>
    </row>
    <row r="667">
      <c r="A667" s="26"/>
      <c r="B667" s="26"/>
      <c r="C667" s="26"/>
      <c r="D667" s="26"/>
      <c r="E667" s="26"/>
      <c r="F667" s="26"/>
      <c r="G667" s="26"/>
      <c r="H667" s="26"/>
      <c r="I667" s="26"/>
      <c r="J667" s="26"/>
      <c r="K667" s="27"/>
      <c r="L667" s="26"/>
      <c r="M667" s="26"/>
      <c r="N667" s="26"/>
      <c r="O667" s="26"/>
      <c r="P667" s="26"/>
    </row>
    <row r="668">
      <c r="A668" s="26"/>
      <c r="B668" s="26"/>
      <c r="C668" s="26"/>
      <c r="D668" s="26"/>
      <c r="E668" s="26"/>
      <c r="F668" s="26"/>
      <c r="G668" s="26"/>
      <c r="H668" s="26"/>
      <c r="I668" s="26"/>
      <c r="J668" s="26"/>
      <c r="K668" s="27"/>
      <c r="L668" s="26"/>
      <c r="M668" s="26"/>
      <c r="N668" s="26"/>
      <c r="O668" s="26"/>
      <c r="P668" s="26"/>
    </row>
    <row r="669">
      <c r="A669" s="26"/>
      <c r="B669" s="26"/>
      <c r="C669" s="26"/>
      <c r="D669" s="26"/>
      <c r="E669" s="26"/>
      <c r="F669" s="26"/>
      <c r="G669" s="26"/>
      <c r="H669" s="26"/>
      <c r="I669" s="26"/>
      <c r="J669" s="26"/>
      <c r="K669" s="27"/>
      <c r="L669" s="26"/>
      <c r="M669" s="26"/>
      <c r="N669" s="26"/>
      <c r="O669" s="26"/>
      <c r="P669" s="26"/>
    </row>
    <row r="670">
      <c r="A670" s="26"/>
      <c r="B670" s="26"/>
      <c r="C670" s="26"/>
      <c r="D670" s="26"/>
      <c r="E670" s="26"/>
      <c r="F670" s="26"/>
      <c r="G670" s="26"/>
      <c r="H670" s="26"/>
      <c r="I670" s="26"/>
      <c r="J670" s="26"/>
      <c r="K670" s="27"/>
      <c r="L670" s="26"/>
      <c r="M670" s="26"/>
      <c r="N670" s="26"/>
      <c r="O670" s="26"/>
      <c r="P670" s="26"/>
    </row>
    <row r="671">
      <c r="A671" s="26"/>
      <c r="B671" s="26"/>
      <c r="C671" s="26"/>
      <c r="D671" s="26"/>
      <c r="E671" s="26"/>
      <c r="F671" s="26"/>
      <c r="G671" s="26"/>
      <c r="H671" s="26"/>
      <c r="I671" s="26"/>
      <c r="J671" s="26"/>
      <c r="K671" s="27"/>
      <c r="L671" s="26"/>
      <c r="M671" s="26"/>
      <c r="N671" s="26"/>
      <c r="O671" s="26"/>
      <c r="P671" s="26"/>
    </row>
    <row r="672">
      <c r="A672" s="26"/>
      <c r="B672" s="26"/>
      <c r="C672" s="26"/>
      <c r="D672" s="26"/>
      <c r="E672" s="26"/>
      <c r="F672" s="26"/>
      <c r="G672" s="26"/>
      <c r="H672" s="26"/>
      <c r="I672" s="26"/>
      <c r="J672" s="26"/>
      <c r="K672" s="27"/>
      <c r="L672" s="26"/>
      <c r="M672" s="26"/>
      <c r="N672" s="26"/>
      <c r="O672" s="26"/>
      <c r="P672" s="26"/>
    </row>
    <row r="673">
      <c r="A673" s="26"/>
      <c r="B673" s="26"/>
      <c r="C673" s="26"/>
      <c r="D673" s="26"/>
      <c r="E673" s="26"/>
      <c r="F673" s="26"/>
      <c r="G673" s="26"/>
      <c r="H673" s="26"/>
      <c r="I673" s="26"/>
      <c r="J673" s="26"/>
      <c r="K673" s="27"/>
      <c r="L673" s="26"/>
      <c r="M673" s="26"/>
      <c r="N673" s="26"/>
      <c r="O673" s="26"/>
      <c r="P673" s="26"/>
    </row>
    <row r="674">
      <c r="A674" s="26"/>
      <c r="B674" s="26"/>
      <c r="C674" s="26"/>
      <c r="D674" s="26"/>
      <c r="E674" s="26"/>
      <c r="F674" s="26"/>
      <c r="G674" s="26"/>
      <c r="H674" s="26"/>
      <c r="I674" s="26"/>
      <c r="J674" s="26"/>
      <c r="K674" s="27"/>
      <c r="L674" s="26"/>
      <c r="M674" s="26"/>
      <c r="N674" s="26"/>
      <c r="O674" s="26"/>
      <c r="P674" s="26"/>
    </row>
    <row r="675">
      <c r="A675" s="26"/>
      <c r="B675" s="26"/>
      <c r="C675" s="26"/>
      <c r="D675" s="26"/>
      <c r="E675" s="26"/>
      <c r="F675" s="26"/>
      <c r="G675" s="26"/>
      <c r="H675" s="26"/>
      <c r="I675" s="26"/>
      <c r="J675" s="26"/>
      <c r="K675" s="27"/>
      <c r="L675" s="26"/>
      <c r="M675" s="26"/>
      <c r="N675" s="26"/>
      <c r="O675" s="26"/>
      <c r="P675" s="26"/>
    </row>
    <row r="676">
      <c r="A676" s="26"/>
      <c r="B676" s="26"/>
      <c r="C676" s="26"/>
      <c r="D676" s="26"/>
      <c r="E676" s="26"/>
      <c r="F676" s="26"/>
      <c r="G676" s="26"/>
      <c r="H676" s="26"/>
      <c r="I676" s="26"/>
      <c r="J676" s="26"/>
      <c r="K676" s="27"/>
      <c r="L676" s="26"/>
      <c r="M676" s="26"/>
      <c r="N676" s="26"/>
      <c r="O676" s="26"/>
      <c r="P676" s="26"/>
    </row>
    <row r="677">
      <c r="A677" s="26"/>
      <c r="B677" s="26"/>
      <c r="C677" s="26"/>
      <c r="D677" s="26"/>
      <c r="E677" s="26"/>
      <c r="F677" s="26"/>
      <c r="G677" s="26"/>
      <c r="H677" s="26"/>
      <c r="I677" s="26"/>
      <c r="J677" s="26"/>
      <c r="K677" s="27"/>
      <c r="L677" s="26"/>
      <c r="M677" s="26"/>
      <c r="N677" s="26"/>
      <c r="O677" s="26"/>
      <c r="P677" s="26"/>
    </row>
    <row r="678">
      <c r="A678" s="26"/>
      <c r="B678" s="26"/>
      <c r="C678" s="26"/>
      <c r="D678" s="26"/>
      <c r="E678" s="26"/>
      <c r="F678" s="26"/>
      <c r="G678" s="26"/>
      <c r="H678" s="26"/>
      <c r="I678" s="26"/>
      <c r="J678" s="26"/>
      <c r="K678" s="27"/>
      <c r="L678" s="26"/>
      <c r="M678" s="26"/>
      <c r="N678" s="26"/>
      <c r="O678" s="26"/>
      <c r="P678" s="26"/>
    </row>
    <row r="679">
      <c r="A679" s="26"/>
      <c r="B679" s="26"/>
      <c r="C679" s="26"/>
      <c r="D679" s="26"/>
      <c r="E679" s="26"/>
      <c r="F679" s="26"/>
      <c r="G679" s="26"/>
      <c r="H679" s="26"/>
      <c r="I679" s="26"/>
      <c r="J679" s="26"/>
      <c r="K679" s="27"/>
      <c r="L679" s="26"/>
      <c r="M679" s="26"/>
      <c r="N679" s="26"/>
      <c r="O679" s="26"/>
      <c r="P679" s="26"/>
    </row>
    <row r="680">
      <c r="A680" s="26"/>
      <c r="B680" s="26"/>
      <c r="C680" s="26"/>
      <c r="D680" s="26"/>
      <c r="E680" s="26"/>
      <c r="F680" s="26"/>
      <c r="G680" s="26"/>
      <c r="H680" s="26"/>
      <c r="I680" s="26"/>
      <c r="J680" s="26"/>
      <c r="K680" s="27"/>
      <c r="L680" s="26"/>
      <c r="M680" s="26"/>
      <c r="N680" s="26"/>
      <c r="O680" s="26"/>
      <c r="P680" s="26"/>
    </row>
    <row r="681">
      <c r="A681" s="26"/>
      <c r="B681" s="26"/>
      <c r="C681" s="26"/>
      <c r="D681" s="26"/>
      <c r="E681" s="26"/>
      <c r="F681" s="26"/>
      <c r="G681" s="26"/>
      <c r="H681" s="26"/>
      <c r="I681" s="26"/>
      <c r="J681" s="26"/>
      <c r="K681" s="27"/>
      <c r="L681" s="26"/>
      <c r="M681" s="26"/>
      <c r="N681" s="26"/>
      <c r="O681" s="26"/>
      <c r="P681" s="26"/>
    </row>
    <row r="682">
      <c r="A682" s="26"/>
      <c r="B682" s="26"/>
      <c r="C682" s="26"/>
      <c r="D682" s="26"/>
      <c r="E682" s="26"/>
      <c r="F682" s="26"/>
      <c r="G682" s="26"/>
      <c r="H682" s="26"/>
      <c r="I682" s="26"/>
      <c r="J682" s="26"/>
      <c r="K682" s="27"/>
      <c r="L682" s="26"/>
      <c r="M682" s="26"/>
      <c r="N682" s="26"/>
      <c r="O682" s="26"/>
      <c r="P682" s="26"/>
    </row>
    <row r="683">
      <c r="A683" s="26"/>
      <c r="B683" s="26"/>
      <c r="C683" s="26"/>
      <c r="D683" s="26"/>
      <c r="E683" s="26"/>
      <c r="F683" s="26"/>
      <c r="G683" s="26"/>
      <c r="H683" s="26"/>
      <c r="I683" s="26"/>
      <c r="J683" s="26"/>
      <c r="K683" s="27"/>
      <c r="L683" s="26"/>
      <c r="M683" s="26"/>
      <c r="N683" s="26"/>
      <c r="O683" s="26"/>
      <c r="P683" s="26"/>
    </row>
    <row r="684">
      <c r="A684" s="26"/>
      <c r="B684" s="26"/>
      <c r="C684" s="26"/>
      <c r="D684" s="26"/>
      <c r="E684" s="26"/>
      <c r="F684" s="26"/>
      <c r="G684" s="26"/>
      <c r="H684" s="26"/>
      <c r="I684" s="26"/>
      <c r="J684" s="26"/>
      <c r="K684" s="27"/>
      <c r="L684" s="26"/>
      <c r="M684" s="26"/>
      <c r="N684" s="26"/>
      <c r="O684" s="26"/>
      <c r="P684" s="26"/>
    </row>
    <row r="685">
      <c r="A685" s="26"/>
      <c r="B685" s="26"/>
      <c r="C685" s="26"/>
      <c r="D685" s="26"/>
      <c r="E685" s="26"/>
      <c r="F685" s="26"/>
      <c r="G685" s="26"/>
      <c r="H685" s="26"/>
      <c r="I685" s="26"/>
      <c r="J685" s="26"/>
      <c r="K685" s="27"/>
      <c r="L685" s="26"/>
      <c r="M685" s="26"/>
      <c r="N685" s="26"/>
      <c r="O685" s="26"/>
      <c r="P685" s="26"/>
    </row>
    <row r="686">
      <c r="A686" s="26"/>
      <c r="B686" s="26"/>
      <c r="C686" s="26"/>
      <c r="D686" s="26"/>
      <c r="E686" s="26"/>
      <c r="F686" s="26"/>
      <c r="G686" s="26"/>
      <c r="H686" s="26"/>
      <c r="I686" s="26"/>
      <c r="J686" s="26"/>
      <c r="K686" s="27"/>
      <c r="L686" s="26"/>
      <c r="M686" s="26"/>
      <c r="N686" s="26"/>
      <c r="O686" s="26"/>
      <c r="P686" s="26"/>
    </row>
    <row r="687">
      <c r="A687" s="26"/>
      <c r="B687" s="26"/>
      <c r="C687" s="26"/>
      <c r="D687" s="26"/>
      <c r="E687" s="26"/>
      <c r="F687" s="26"/>
      <c r="G687" s="26"/>
      <c r="H687" s="26"/>
      <c r="I687" s="26"/>
      <c r="J687" s="26"/>
      <c r="K687" s="27"/>
      <c r="L687" s="26"/>
      <c r="M687" s="26"/>
      <c r="N687" s="26"/>
      <c r="O687" s="26"/>
      <c r="P687" s="26"/>
    </row>
    <row r="688">
      <c r="A688" s="26"/>
      <c r="B688" s="26"/>
      <c r="C688" s="26"/>
      <c r="D688" s="26"/>
      <c r="E688" s="26"/>
      <c r="F688" s="26"/>
      <c r="G688" s="26"/>
      <c r="H688" s="26"/>
      <c r="I688" s="26"/>
      <c r="J688" s="26"/>
      <c r="K688" s="27"/>
      <c r="L688" s="26"/>
      <c r="M688" s="26"/>
      <c r="N688" s="26"/>
      <c r="O688" s="26"/>
      <c r="P688" s="26"/>
    </row>
    <row r="689">
      <c r="A689" s="26"/>
      <c r="B689" s="26"/>
      <c r="C689" s="26"/>
      <c r="D689" s="26"/>
      <c r="E689" s="26"/>
      <c r="F689" s="26"/>
      <c r="G689" s="26"/>
      <c r="H689" s="26"/>
      <c r="I689" s="26"/>
      <c r="J689" s="26"/>
      <c r="K689" s="27"/>
      <c r="L689" s="26"/>
      <c r="M689" s="26"/>
      <c r="N689" s="26"/>
      <c r="O689" s="26"/>
      <c r="P689" s="26"/>
    </row>
    <row r="690">
      <c r="A690" s="26"/>
      <c r="B690" s="26"/>
      <c r="C690" s="26"/>
      <c r="D690" s="26"/>
      <c r="E690" s="26"/>
      <c r="F690" s="26"/>
      <c r="G690" s="26"/>
      <c r="H690" s="26"/>
      <c r="I690" s="26"/>
      <c r="J690" s="26"/>
      <c r="K690" s="27"/>
      <c r="L690" s="26"/>
      <c r="M690" s="26"/>
      <c r="N690" s="26"/>
      <c r="O690" s="26"/>
      <c r="P690" s="26"/>
    </row>
    <row r="691">
      <c r="A691" s="26"/>
      <c r="B691" s="26"/>
      <c r="C691" s="26"/>
      <c r="D691" s="26"/>
      <c r="E691" s="26"/>
      <c r="F691" s="26"/>
      <c r="G691" s="26"/>
      <c r="H691" s="26"/>
      <c r="I691" s="26"/>
      <c r="J691" s="26"/>
      <c r="K691" s="27"/>
      <c r="L691" s="26"/>
      <c r="M691" s="26"/>
      <c r="N691" s="26"/>
      <c r="O691" s="26"/>
      <c r="P691" s="26"/>
    </row>
    <row r="692">
      <c r="A692" s="26"/>
      <c r="B692" s="26"/>
      <c r="C692" s="26"/>
      <c r="D692" s="26"/>
      <c r="E692" s="26"/>
      <c r="F692" s="26"/>
      <c r="G692" s="26"/>
      <c r="H692" s="26"/>
      <c r="I692" s="26"/>
      <c r="J692" s="26"/>
      <c r="K692" s="27"/>
      <c r="L692" s="26"/>
      <c r="M692" s="26"/>
      <c r="N692" s="26"/>
      <c r="O692" s="26"/>
      <c r="P692" s="26"/>
    </row>
    <row r="693">
      <c r="A693" s="26"/>
      <c r="B693" s="26"/>
      <c r="C693" s="26"/>
      <c r="D693" s="26"/>
      <c r="E693" s="26"/>
      <c r="F693" s="26"/>
      <c r="G693" s="26"/>
      <c r="H693" s="26"/>
      <c r="I693" s="26"/>
      <c r="J693" s="26"/>
      <c r="K693" s="27"/>
      <c r="L693" s="26"/>
      <c r="M693" s="26"/>
      <c r="N693" s="26"/>
      <c r="O693" s="26"/>
      <c r="P693" s="26"/>
    </row>
    <row r="694">
      <c r="A694" s="26"/>
      <c r="B694" s="26"/>
      <c r="C694" s="26"/>
      <c r="D694" s="26"/>
      <c r="E694" s="26"/>
      <c r="F694" s="26"/>
      <c r="G694" s="26"/>
      <c r="H694" s="26"/>
      <c r="I694" s="26"/>
      <c r="J694" s="26"/>
      <c r="K694" s="27"/>
      <c r="L694" s="26"/>
      <c r="M694" s="26"/>
      <c r="N694" s="26"/>
      <c r="O694" s="26"/>
      <c r="P694" s="26"/>
    </row>
    <row r="695">
      <c r="A695" s="26"/>
      <c r="B695" s="26"/>
      <c r="C695" s="26"/>
      <c r="D695" s="26"/>
      <c r="E695" s="26"/>
      <c r="F695" s="26"/>
      <c r="G695" s="26"/>
      <c r="H695" s="26"/>
      <c r="I695" s="26"/>
      <c r="J695" s="26"/>
      <c r="K695" s="27"/>
      <c r="L695" s="26"/>
      <c r="M695" s="26"/>
      <c r="N695" s="26"/>
      <c r="O695" s="26"/>
      <c r="P695" s="26"/>
    </row>
    <row r="696">
      <c r="A696" s="26"/>
      <c r="B696" s="26"/>
      <c r="C696" s="26"/>
      <c r="D696" s="26"/>
      <c r="E696" s="26"/>
      <c r="F696" s="26"/>
      <c r="G696" s="26"/>
      <c r="H696" s="26"/>
      <c r="I696" s="26"/>
      <c r="J696" s="26"/>
      <c r="K696" s="27"/>
      <c r="L696" s="26"/>
      <c r="M696" s="26"/>
      <c r="N696" s="26"/>
      <c r="O696" s="26"/>
      <c r="P696" s="26"/>
    </row>
    <row r="697">
      <c r="A697" s="26"/>
      <c r="B697" s="26"/>
      <c r="C697" s="26"/>
      <c r="D697" s="26"/>
      <c r="E697" s="26"/>
      <c r="F697" s="26"/>
      <c r="G697" s="26"/>
      <c r="H697" s="26"/>
      <c r="I697" s="26"/>
      <c r="J697" s="26"/>
      <c r="K697" s="27"/>
      <c r="L697" s="26"/>
      <c r="M697" s="26"/>
      <c r="N697" s="26"/>
      <c r="O697" s="26"/>
      <c r="P697" s="26"/>
    </row>
    <row r="698">
      <c r="A698" s="26"/>
      <c r="B698" s="26"/>
      <c r="C698" s="26"/>
      <c r="D698" s="26"/>
      <c r="E698" s="26"/>
      <c r="F698" s="26"/>
      <c r="G698" s="26"/>
      <c r="H698" s="26"/>
      <c r="I698" s="26"/>
      <c r="J698" s="26"/>
      <c r="K698" s="27"/>
      <c r="L698" s="26"/>
      <c r="M698" s="26"/>
      <c r="N698" s="26"/>
      <c r="O698" s="26"/>
      <c r="P698" s="26"/>
    </row>
    <row r="699">
      <c r="A699" s="26"/>
      <c r="B699" s="26"/>
      <c r="C699" s="26"/>
      <c r="D699" s="26"/>
      <c r="E699" s="26"/>
      <c r="F699" s="26"/>
      <c r="G699" s="26"/>
      <c r="H699" s="26"/>
      <c r="I699" s="26"/>
      <c r="J699" s="26"/>
      <c r="K699" s="27"/>
      <c r="L699" s="26"/>
      <c r="M699" s="26"/>
      <c r="N699" s="26"/>
      <c r="O699" s="26"/>
      <c r="P699" s="26"/>
    </row>
    <row r="700">
      <c r="A700" s="26"/>
      <c r="B700" s="26"/>
      <c r="C700" s="26"/>
      <c r="D700" s="26"/>
      <c r="E700" s="26"/>
      <c r="F700" s="26"/>
      <c r="G700" s="26"/>
      <c r="H700" s="26"/>
      <c r="I700" s="26"/>
      <c r="J700" s="26"/>
      <c r="K700" s="27"/>
      <c r="L700" s="26"/>
      <c r="M700" s="26"/>
      <c r="N700" s="26"/>
      <c r="O700" s="26"/>
      <c r="P700" s="26"/>
    </row>
    <row r="701">
      <c r="A701" s="26"/>
      <c r="B701" s="26"/>
      <c r="C701" s="26"/>
      <c r="D701" s="26"/>
      <c r="E701" s="26"/>
      <c r="F701" s="26"/>
      <c r="G701" s="26"/>
      <c r="H701" s="26"/>
      <c r="I701" s="26"/>
      <c r="J701" s="26"/>
      <c r="K701" s="27"/>
      <c r="L701" s="26"/>
      <c r="M701" s="26"/>
      <c r="N701" s="26"/>
      <c r="O701" s="26"/>
      <c r="P701" s="26"/>
    </row>
    <row r="702">
      <c r="A702" s="26"/>
      <c r="B702" s="26"/>
      <c r="C702" s="26"/>
      <c r="D702" s="26"/>
      <c r="E702" s="26"/>
      <c r="F702" s="26"/>
      <c r="G702" s="26"/>
      <c r="H702" s="26"/>
      <c r="I702" s="26"/>
      <c r="J702" s="26"/>
      <c r="K702" s="27"/>
      <c r="L702" s="26"/>
      <c r="M702" s="26"/>
      <c r="N702" s="26"/>
      <c r="O702" s="26"/>
      <c r="P702" s="26"/>
    </row>
    <row r="703">
      <c r="A703" s="26"/>
      <c r="B703" s="26"/>
      <c r="C703" s="26"/>
      <c r="D703" s="26"/>
      <c r="E703" s="26"/>
      <c r="F703" s="26"/>
      <c r="G703" s="26"/>
      <c r="H703" s="26"/>
      <c r="I703" s="26"/>
      <c r="J703" s="26"/>
      <c r="K703" s="27"/>
      <c r="L703" s="26"/>
      <c r="M703" s="26"/>
      <c r="N703" s="26"/>
      <c r="O703" s="26"/>
      <c r="P703" s="26"/>
    </row>
    <row r="704">
      <c r="A704" s="26"/>
      <c r="B704" s="26"/>
      <c r="C704" s="26"/>
      <c r="D704" s="26"/>
      <c r="E704" s="26"/>
      <c r="F704" s="26"/>
      <c r="G704" s="26"/>
      <c r="H704" s="26"/>
      <c r="I704" s="26"/>
      <c r="J704" s="26"/>
      <c r="K704" s="27"/>
      <c r="L704" s="26"/>
      <c r="M704" s="26"/>
      <c r="N704" s="26"/>
      <c r="O704" s="26"/>
      <c r="P704" s="26"/>
    </row>
    <row r="705">
      <c r="A705" s="26"/>
      <c r="B705" s="26"/>
      <c r="C705" s="26"/>
      <c r="D705" s="26"/>
      <c r="E705" s="26"/>
      <c r="F705" s="26"/>
      <c r="G705" s="26"/>
      <c r="H705" s="26"/>
      <c r="I705" s="26"/>
      <c r="J705" s="26"/>
      <c r="K705" s="27"/>
      <c r="L705" s="26"/>
      <c r="M705" s="26"/>
      <c r="N705" s="26"/>
      <c r="O705" s="26"/>
      <c r="P705" s="26"/>
    </row>
    <row r="706">
      <c r="A706" s="26"/>
      <c r="B706" s="26"/>
      <c r="C706" s="26"/>
      <c r="D706" s="26"/>
      <c r="E706" s="26"/>
      <c r="F706" s="26"/>
      <c r="G706" s="26"/>
      <c r="H706" s="26"/>
      <c r="I706" s="26"/>
      <c r="J706" s="26"/>
      <c r="K706" s="27"/>
      <c r="L706" s="26"/>
      <c r="M706" s="26"/>
      <c r="N706" s="26"/>
      <c r="O706" s="26"/>
      <c r="P706" s="26"/>
    </row>
    <row r="707">
      <c r="A707" s="26"/>
      <c r="B707" s="26"/>
      <c r="C707" s="26"/>
      <c r="D707" s="26"/>
      <c r="E707" s="26"/>
      <c r="F707" s="26"/>
      <c r="G707" s="26"/>
      <c r="H707" s="26"/>
      <c r="I707" s="26"/>
      <c r="J707" s="26"/>
      <c r="K707" s="27"/>
      <c r="L707" s="26"/>
      <c r="M707" s="26"/>
      <c r="N707" s="26"/>
      <c r="O707" s="26"/>
      <c r="P707" s="26"/>
    </row>
    <row r="708">
      <c r="A708" s="26"/>
      <c r="B708" s="26"/>
      <c r="C708" s="26"/>
      <c r="D708" s="26"/>
      <c r="E708" s="26"/>
      <c r="F708" s="26"/>
      <c r="G708" s="26"/>
      <c r="H708" s="26"/>
      <c r="I708" s="26"/>
      <c r="J708" s="26"/>
      <c r="K708" s="27"/>
      <c r="L708" s="26"/>
      <c r="M708" s="26"/>
      <c r="N708" s="26"/>
      <c r="O708" s="26"/>
      <c r="P708" s="26"/>
    </row>
    <row r="709">
      <c r="A709" s="26"/>
      <c r="B709" s="26"/>
      <c r="C709" s="26"/>
      <c r="D709" s="26"/>
      <c r="E709" s="26"/>
      <c r="F709" s="26"/>
      <c r="G709" s="26"/>
      <c r="H709" s="26"/>
      <c r="I709" s="26"/>
      <c r="J709" s="26"/>
      <c r="K709" s="27"/>
      <c r="L709" s="26"/>
      <c r="M709" s="26"/>
      <c r="N709" s="26"/>
      <c r="O709" s="26"/>
      <c r="P709" s="26"/>
    </row>
    <row r="710">
      <c r="A710" s="26"/>
      <c r="B710" s="26"/>
      <c r="C710" s="26"/>
      <c r="D710" s="26"/>
      <c r="E710" s="26"/>
      <c r="F710" s="26"/>
      <c r="G710" s="26"/>
      <c r="H710" s="26"/>
      <c r="I710" s="26"/>
      <c r="J710" s="26"/>
      <c r="K710" s="27"/>
      <c r="L710" s="26"/>
      <c r="M710" s="26"/>
      <c r="N710" s="26"/>
      <c r="O710" s="26"/>
      <c r="P710" s="26"/>
    </row>
    <row r="711">
      <c r="A711" s="26"/>
      <c r="B711" s="26"/>
      <c r="C711" s="26"/>
      <c r="D711" s="26"/>
      <c r="E711" s="26"/>
      <c r="F711" s="26"/>
      <c r="G711" s="26"/>
      <c r="H711" s="26"/>
      <c r="I711" s="26"/>
      <c r="J711" s="26"/>
      <c r="K711" s="27"/>
      <c r="L711" s="26"/>
      <c r="M711" s="26"/>
      <c r="N711" s="26"/>
      <c r="O711" s="26"/>
      <c r="P711" s="26"/>
    </row>
    <row r="712">
      <c r="A712" s="26"/>
      <c r="B712" s="26"/>
      <c r="C712" s="26"/>
      <c r="D712" s="26"/>
      <c r="E712" s="26"/>
      <c r="F712" s="26"/>
      <c r="G712" s="26"/>
      <c r="H712" s="26"/>
      <c r="I712" s="26"/>
      <c r="J712" s="26"/>
      <c r="K712" s="27"/>
      <c r="L712" s="26"/>
      <c r="M712" s="26"/>
      <c r="N712" s="26"/>
      <c r="O712" s="26"/>
      <c r="P712" s="26"/>
    </row>
    <row r="713">
      <c r="A713" s="26"/>
      <c r="B713" s="26"/>
      <c r="C713" s="26"/>
      <c r="D713" s="26"/>
      <c r="E713" s="26"/>
      <c r="F713" s="26"/>
      <c r="G713" s="26"/>
      <c r="H713" s="26"/>
      <c r="I713" s="26"/>
      <c r="J713" s="26"/>
      <c r="K713" s="27"/>
      <c r="L713" s="26"/>
      <c r="M713" s="26"/>
      <c r="N713" s="26"/>
      <c r="O713" s="26"/>
      <c r="P713" s="26"/>
    </row>
    <row r="714">
      <c r="A714" s="26"/>
      <c r="B714" s="26"/>
      <c r="C714" s="26"/>
      <c r="D714" s="26"/>
      <c r="E714" s="26"/>
      <c r="F714" s="26"/>
      <c r="G714" s="26"/>
      <c r="H714" s="26"/>
      <c r="I714" s="26"/>
      <c r="J714" s="26"/>
      <c r="K714" s="27"/>
      <c r="L714" s="26"/>
      <c r="M714" s="26"/>
      <c r="N714" s="26"/>
      <c r="O714" s="26"/>
      <c r="P714" s="26"/>
    </row>
    <row r="715">
      <c r="A715" s="26"/>
      <c r="B715" s="26"/>
      <c r="C715" s="26"/>
      <c r="D715" s="26"/>
      <c r="E715" s="26"/>
      <c r="F715" s="26"/>
      <c r="G715" s="26"/>
      <c r="H715" s="26"/>
      <c r="I715" s="26"/>
      <c r="J715" s="26"/>
      <c r="K715" s="27"/>
      <c r="L715" s="26"/>
      <c r="M715" s="26"/>
      <c r="N715" s="26"/>
      <c r="O715" s="26"/>
      <c r="P715" s="26"/>
    </row>
    <row r="716">
      <c r="A716" s="26"/>
      <c r="B716" s="26"/>
      <c r="C716" s="26"/>
      <c r="D716" s="26"/>
      <c r="E716" s="26"/>
      <c r="F716" s="26"/>
      <c r="G716" s="26"/>
      <c r="H716" s="26"/>
      <c r="I716" s="26"/>
      <c r="J716" s="26"/>
      <c r="K716" s="27"/>
      <c r="L716" s="26"/>
      <c r="M716" s="26"/>
      <c r="N716" s="26"/>
      <c r="O716" s="26"/>
      <c r="P716" s="26"/>
    </row>
    <row r="717">
      <c r="A717" s="26"/>
      <c r="B717" s="26"/>
      <c r="C717" s="26"/>
      <c r="D717" s="26"/>
      <c r="E717" s="26"/>
      <c r="F717" s="26"/>
      <c r="G717" s="26"/>
      <c r="H717" s="26"/>
      <c r="I717" s="26"/>
      <c r="J717" s="26"/>
      <c r="K717" s="27"/>
      <c r="L717" s="26"/>
      <c r="M717" s="26"/>
      <c r="N717" s="26"/>
      <c r="O717" s="26"/>
      <c r="P717" s="26"/>
    </row>
    <row r="718">
      <c r="A718" s="26"/>
      <c r="B718" s="26"/>
      <c r="C718" s="26"/>
      <c r="D718" s="26"/>
      <c r="E718" s="26"/>
      <c r="F718" s="26"/>
      <c r="G718" s="26"/>
      <c r="H718" s="26"/>
      <c r="I718" s="26"/>
      <c r="J718" s="26"/>
      <c r="K718" s="27"/>
      <c r="L718" s="26"/>
      <c r="M718" s="26"/>
      <c r="N718" s="26"/>
      <c r="O718" s="26"/>
      <c r="P718" s="26"/>
    </row>
    <row r="719">
      <c r="A719" s="26"/>
      <c r="B719" s="26"/>
      <c r="C719" s="26"/>
      <c r="D719" s="26"/>
      <c r="E719" s="26"/>
      <c r="F719" s="26"/>
      <c r="G719" s="26"/>
      <c r="H719" s="26"/>
      <c r="I719" s="26"/>
      <c r="J719" s="26"/>
      <c r="K719" s="27"/>
      <c r="L719" s="26"/>
      <c r="M719" s="26"/>
      <c r="N719" s="26"/>
      <c r="O719" s="26"/>
      <c r="P719" s="26"/>
    </row>
    <row r="720">
      <c r="A720" s="26"/>
      <c r="B720" s="26"/>
      <c r="C720" s="26"/>
      <c r="D720" s="26"/>
      <c r="E720" s="26"/>
      <c r="F720" s="26"/>
      <c r="G720" s="26"/>
      <c r="H720" s="26"/>
      <c r="I720" s="26"/>
      <c r="J720" s="26"/>
      <c r="K720" s="27"/>
      <c r="L720" s="26"/>
      <c r="M720" s="26"/>
      <c r="N720" s="26"/>
      <c r="O720" s="26"/>
      <c r="P720" s="26"/>
    </row>
    <row r="721">
      <c r="A721" s="26"/>
      <c r="B721" s="26"/>
      <c r="C721" s="26"/>
      <c r="D721" s="26"/>
      <c r="E721" s="26"/>
      <c r="F721" s="26"/>
      <c r="G721" s="26"/>
      <c r="H721" s="26"/>
      <c r="I721" s="26"/>
      <c r="J721" s="26"/>
      <c r="K721" s="27"/>
      <c r="L721" s="26"/>
      <c r="M721" s="26"/>
      <c r="N721" s="26"/>
      <c r="O721" s="26"/>
      <c r="P721" s="26"/>
    </row>
    <row r="722">
      <c r="A722" s="26"/>
      <c r="B722" s="26"/>
      <c r="C722" s="26"/>
      <c r="D722" s="26"/>
      <c r="E722" s="26"/>
      <c r="F722" s="26"/>
      <c r="G722" s="26"/>
      <c r="H722" s="26"/>
      <c r="I722" s="26"/>
      <c r="J722" s="26"/>
      <c r="K722" s="27"/>
      <c r="L722" s="26"/>
      <c r="M722" s="26"/>
      <c r="N722" s="26"/>
      <c r="O722" s="26"/>
      <c r="P722" s="26"/>
    </row>
    <row r="723">
      <c r="A723" s="26"/>
      <c r="B723" s="26"/>
      <c r="C723" s="26"/>
      <c r="D723" s="26"/>
      <c r="E723" s="26"/>
      <c r="F723" s="26"/>
      <c r="G723" s="26"/>
      <c r="H723" s="26"/>
      <c r="I723" s="26"/>
      <c r="J723" s="26"/>
      <c r="K723" s="27"/>
      <c r="L723" s="26"/>
      <c r="M723" s="26"/>
      <c r="N723" s="26"/>
      <c r="O723" s="26"/>
      <c r="P723" s="26"/>
    </row>
    <row r="724">
      <c r="A724" s="26"/>
      <c r="B724" s="26"/>
      <c r="C724" s="26"/>
      <c r="D724" s="26"/>
      <c r="E724" s="26"/>
      <c r="F724" s="26"/>
      <c r="G724" s="26"/>
      <c r="H724" s="26"/>
      <c r="I724" s="26"/>
      <c r="J724" s="26"/>
      <c r="K724" s="27"/>
      <c r="L724" s="26"/>
      <c r="M724" s="26"/>
      <c r="N724" s="26"/>
      <c r="O724" s="26"/>
      <c r="P724" s="26"/>
    </row>
    <row r="725">
      <c r="A725" s="26"/>
      <c r="B725" s="26"/>
      <c r="C725" s="26"/>
      <c r="D725" s="26"/>
      <c r="E725" s="26"/>
      <c r="F725" s="26"/>
      <c r="G725" s="26"/>
      <c r="H725" s="26"/>
      <c r="I725" s="26"/>
      <c r="J725" s="26"/>
      <c r="K725" s="27"/>
      <c r="L725" s="26"/>
      <c r="M725" s="26"/>
      <c r="N725" s="26"/>
      <c r="O725" s="26"/>
      <c r="P725" s="26"/>
    </row>
    <row r="726">
      <c r="A726" s="26"/>
      <c r="B726" s="26"/>
      <c r="C726" s="26"/>
      <c r="D726" s="26"/>
      <c r="E726" s="26"/>
      <c r="F726" s="26"/>
      <c r="G726" s="26"/>
      <c r="H726" s="26"/>
      <c r="I726" s="26"/>
      <c r="J726" s="26"/>
      <c r="K726" s="27"/>
      <c r="L726" s="26"/>
      <c r="M726" s="26"/>
      <c r="N726" s="26"/>
      <c r="O726" s="26"/>
      <c r="P726" s="26"/>
    </row>
    <row r="727">
      <c r="A727" s="26"/>
      <c r="B727" s="26"/>
      <c r="C727" s="26"/>
      <c r="D727" s="26"/>
      <c r="E727" s="26"/>
      <c r="F727" s="26"/>
      <c r="G727" s="26"/>
      <c r="H727" s="26"/>
      <c r="I727" s="26"/>
      <c r="J727" s="26"/>
      <c r="K727" s="27"/>
      <c r="L727" s="26"/>
      <c r="M727" s="26"/>
      <c r="N727" s="26"/>
      <c r="O727" s="26"/>
      <c r="P727" s="26"/>
    </row>
    <row r="728">
      <c r="A728" s="26"/>
      <c r="B728" s="26"/>
      <c r="C728" s="26"/>
      <c r="D728" s="26"/>
      <c r="E728" s="26"/>
      <c r="F728" s="26"/>
      <c r="G728" s="26"/>
      <c r="H728" s="26"/>
      <c r="I728" s="26"/>
      <c r="J728" s="26"/>
      <c r="K728" s="27"/>
      <c r="L728" s="26"/>
      <c r="M728" s="26"/>
      <c r="N728" s="26"/>
      <c r="O728" s="26"/>
      <c r="P728" s="26"/>
    </row>
    <row r="729">
      <c r="A729" s="26"/>
      <c r="B729" s="26"/>
      <c r="C729" s="26"/>
      <c r="D729" s="26"/>
      <c r="E729" s="26"/>
      <c r="F729" s="26"/>
      <c r="G729" s="26"/>
      <c r="H729" s="26"/>
      <c r="I729" s="26"/>
      <c r="J729" s="26"/>
      <c r="K729" s="27"/>
      <c r="L729" s="26"/>
      <c r="M729" s="26"/>
      <c r="N729" s="26"/>
      <c r="O729" s="26"/>
      <c r="P729" s="26"/>
    </row>
    <row r="730">
      <c r="A730" s="26"/>
      <c r="B730" s="26"/>
      <c r="C730" s="26"/>
      <c r="D730" s="26"/>
      <c r="E730" s="26"/>
      <c r="F730" s="26"/>
      <c r="G730" s="26"/>
      <c r="H730" s="26"/>
      <c r="I730" s="26"/>
      <c r="J730" s="26"/>
      <c r="K730" s="27"/>
      <c r="L730" s="26"/>
      <c r="M730" s="26"/>
      <c r="N730" s="26"/>
      <c r="O730" s="26"/>
      <c r="P730" s="26"/>
    </row>
    <row r="731">
      <c r="A731" s="26"/>
      <c r="B731" s="26"/>
      <c r="C731" s="26"/>
      <c r="D731" s="26"/>
      <c r="E731" s="26"/>
      <c r="F731" s="26"/>
      <c r="G731" s="26"/>
      <c r="H731" s="26"/>
      <c r="I731" s="26"/>
      <c r="J731" s="26"/>
      <c r="K731" s="27"/>
      <c r="L731" s="26"/>
      <c r="M731" s="26"/>
      <c r="N731" s="26"/>
      <c r="O731" s="26"/>
      <c r="P731" s="26"/>
    </row>
    <row r="732">
      <c r="A732" s="26"/>
      <c r="B732" s="26"/>
      <c r="C732" s="26"/>
      <c r="D732" s="26"/>
      <c r="E732" s="26"/>
      <c r="F732" s="26"/>
      <c r="G732" s="26"/>
      <c r="H732" s="26"/>
      <c r="I732" s="26"/>
      <c r="J732" s="26"/>
      <c r="K732" s="27"/>
      <c r="L732" s="26"/>
      <c r="M732" s="26"/>
      <c r="N732" s="26"/>
      <c r="O732" s="26"/>
      <c r="P732" s="26"/>
    </row>
    <row r="733">
      <c r="A733" s="26"/>
      <c r="B733" s="26"/>
      <c r="C733" s="26"/>
      <c r="D733" s="26"/>
      <c r="E733" s="26"/>
      <c r="F733" s="26"/>
      <c r="G733" s="26"/>
      <c r="H733" s="26"/>
      <c r="I733" s="26"/>
      <c r="J733" s="26"/>
      <c r="K733" s="27"/>
      <c r="L733" s="26"/>
      <c r="M733" s="26"/>
      <c r="N733" s="26"/>
      <c r="O733" s="26"/>
      <c r="P733" s="26"/>
    </row>
    <row r="734">
      <c r="A734" s="26"/>
      <c r="B734" s="26"/>
      <c r="C734" s="26"/>
      <c r="D734" s="26"/>
      <c r="E734" s="26"/>
      <c r="F734" s="26"/>
      <c r="G734" s="26"/>
      <c r="H734" s="26"/>
      <c r="I734" s="26"/>
      <c r="J734" s="26"/>
      <c r="K734" s="27"/>
      <c r="L734" s="26"/>
      <c r="M734" s="26"/>
      <c r="N734" s="26"/>
      <c r="O734" s="26"/>
      <c r="P734" s="26"/>
    </row>
    <row r="735">
      <c r="A735" s="26"/>
      <c r="B735" s="26"/>
      <c r="C735" s="26"/>
      <c r="D735" s="26"/>
      <c r="E735" s="26"/>
      <c r="F735" s="26"/>
      <c r="G735" s="26"/>
      <c r="H735" s="26"/>
      <c r="I735" s="26"/>
      <c r="J735" s="26"/>
      <c r="K735" s="27"/>
      <c r="L735" s="26"/>
      <c r="M735" s="26"/>
      <c r="N735" s="26"/>
      <c r="O735" s="26"/>
      <c r="P735" s="26"/>
    </row>
    <row r="736">
      <c r="A736" s="26"/>
      <c r="B736" s="26"/>
      <c r="C736" s="26"/>
      <c r="D736" s="26"/>
      <c r="E736" s="26"/>
      <c r="F736" s="26"/>
      <c r="G736" s="26"/>
      <c r="H736" s="26"/>
      <c r="I736" s="26"/>
      <c r="J736" s="26"/>
      <c r="K736" s="27"/>
      <c r="L736" s="26"/>
      <c r="M736" s="26"/>
      <c r="N736" s="26"/>
      <c r="O736" s="26"/>
      <c r="P736" s="26"/>
    </row>
    <row r="737">
      <c r="A737" s="26"/>
      <c r="B737" s="26"/>
      <c r="C737" s="26"/>
      <c r="D737" s="26"/>
      <c r="E737" s="26"/>
      <c r="F737" s="26"/>
      <c r="G737" s="26"/>
      <c r="H737" s="26"/>
      <c r="I737" s="26"/>
      <c r="J737" s="26"/>
      <c r="K737" s="27"/>
      <c r="L737" s="26"/>
      <c r="M737" s="26"/>
      <c r="N737" s="26"/>
      <c r="O737" s="26"/>
      <c r="P737" s="26"/>
    </row>
    <row r="738">
      <c r="A738" s="26"/>
      <c r="B738" s="26"/>
      <c r="C738" s="26"/>
      <c r="D738" s="26"/>
      <c r="E738" s="26"/>
      <c r="F738" s="26"/>
      <c r="G738" s="26"/>
      <c r="H738" s="26"/>
      <c r="I738" s="26"/>
      <c r="J738" s="26"/>
      <c r="K738" s="27"/>
      <c r="L738" s="26"/>
      <c r="M738" s="26"/>
      <c r="N738" s="26"/>
      <c r="O738" s="26"/>
      <c r="P738" s="26"/>
    </row>
    <row r="739">
      <c r="A739" s="26"/>
      <c r="B739" s="26"/>
      <c r="C739" s="26"/>
      <c r="D739" s="26"/>
      <c r="E739" s="26"/>
      <c r="F739" s="26"/>
      <c r="G739" s="26"/>
      <c r="H739" s="26"/>
      <c r="I739" s="26"/>
      <c r="J739" s="26"/>
      <c r="K739" s="27"/>
      <c r="L739" s="26"/>
      <c r="M739" s="26"/>
      <c r="N739" s="26"/>
      <c r="O739" s="26"/>
      <c r="P739" s="26"/>
    </row>
    <row r="740">
      <c r="A740" s="26"/>
      <c r="B740" s="26"/>
      <c r="C740" s="26"/>
      <c r="D740" s="26"/>
      <c r="E740" s="26"/>
      <c r="F740" s="26"/>
      <c r="G740" s="26"/>
      <c r="H740" s="26"/>
      <c r="I740" s="26"/>
      <c r="J740" s="26"/>
      <c r="K740" s="27"/>
      <c r="L740" s="26"/>
      <c r="M740" s="26"/>
      <c r="N740" s="26"/>
      <c r="O740" s="26"/>
      <c r="P740" s="26"/>
    </row>
    <row r="741">
      <c r="A741" s="26"/>
      <c r="B741" s="26"/>
      <c r="C741" s="26"/>
      <c r="D741" s="26"/>
      <c r="E741" s="26"/>
      <c r="F741" s="26"/>
      <c r="G741" s="26"/>
      <c r="H741" s="26"/>
      <c r="I741" s="26"/>
      <c r="J741" s="26"/>
      <c r="K741" s="27"/>
      <c r="L741" s="26"/>
      <c r="M741" s="26"/>
      <c r="N741" s="26"/>
      <c r="O741" s="26"/>
      <c r="P741" s="26"/>
    </row>
    <row r="742">
      <c r="A742" s="26"/>
      <c r="B742" s="26"/>
      <c r="C742" s="26"/>
      <c r="D742" s="26"/>
      <c r="E742" s="26"/>
      <c r="F742" s="26"/>
      <c r="G742" s="26"/>
      <c r="H742" s="26"/>
      <c r="I742" s="26"/>
      <c r="J742" s="26"/>
      <c r="K742" s="27"/>
      <c r="L742" s="26"/>
      <c r="M742" s="26"/>
      <c r="N742" s="26"/>
      <c r="O742" s="26"/>
      <c r="P742" s="26"/>
    </row>
    <row r="743">
      <c r="A743" s="26"/>
      <c r="B743" s="26"/>
      <c r="C743" s="26"/>
      <c r="D743" s="26"/>
      <c r="E743" s="26"/>
      <c r="F743" s="26"/>
      <c r="G743" s="26"/>
      <c r="H743" s="26"/>
      <c r="I743" s="26"/>
      <c r="J743" s="26"/>
      <c r="K743" s="27"/>
      <c r="L743" s="26"/>
      <c r="M743" s="26"/>
      <c r="N743" s="26"/>
      <c r="O743" s="26"/>
      <c r="P743" s="26"/>
    </row>
    <row r="744">
      <c r="A744" s="26"/>
      <c r="B744" s="26"/>
      <c r="C744" s="26"/>
      <c r="D744" s="26"/>
      <c r="E744" s="26"/>
      <c r="F744" s="26"/>
      <c r="G744" s="26"/>
      <c r="H744" s="26"/>
      <c r="I744" s="26"/>
      <c r="J744" s="26"/>
      <c r="K744" s="27"/>
      <c r="L744" s="26"/>
      <c r="M744" s="26"/>
      <c r="N744" s="26"/>
      <c r="O744" s="26"/>
      <c r="P744" s="26"/>
    </row>
    <row r="745">
      <c r="A745" s="26"/>
      <c r="B745" s="26"/>
      <c r="C745" s="26"/>
      <c r="D745" s="26"/>
      <c r="E745" s="26"/>
      <c r="F745" s="26"/>
      <c r="G745" s="26"/>
      <c r="H745" s="26"/>
      <c r="I745" s="26"/>
      <c r="J745" s="26"/>
      <c r="K745" s="27"/>
      <c r="L745" s="26"/>
      <c r="M745" s="26"/>
      <c r="N745" s="26"/>
      <c r="O745" s="26"/>
      <c r="P745" s="26"/>
    </row>
    <row r="746">
      <c r="A746" s="26"/>
      <c r="B746" s="26"/>
      <c r="C746" s="26"/>
      <c r="D746" s="26"/>
      <c r="E746" s="26"/>
      <c r="F746" s="26"/>
      <c r="G746" s="26"/>
      <c r="H746" s="26"/>
      <c r="I746" s="26"/>
      <c r="J746" s="26"/>
      <c r="K746" s="27"/>
      <c r="L746" s="26"/>
      <c r="M746" s="26"/>
      <c r="N746" s="26"/>
      <c r="O746" s="26"/>
      <c r="P746" s="26"/>
    </row>
    <row r="747">
      <c r="A747" s="26"/>
      <c r="B747" s="26"/>
      <c r="C747" s="26"/>
      <c r="D747" s="26"/>
      <c r="E747" s="26"/>
      <c r="F747" s="26"/>
      <c r="G747" s="26"/>
      <c r="H747" s="26"/>
      <c r="I747" s="26"/>
      <c r="J747" s="26"/>
      <c r="K747" s="27"/>
      <c r="L747" s="26"/>
      <c r="M747" s="26"/>
      <c r="N747" s="26"/>
      <c r="O747" s="26"/>
      <c r="P747" s="26"/>
    </row>
    <row r="748">
      <c r="A748" s="26"/>
      <c r="B748" s="26"/>
      <c r="C748" s="26"/>
      <c r="D748" s="26"/>
      <c r="E748" s="26"/>
      <c r="F748" s="26"/>
      <c r="G748" s="26"/>
      <c r="H748" s="26"/>
      <c r="I748" s="26"/>
      <c r="J748" s="26"/>
      <c r="K748" s="27"/>
      <c r="L748" s="26"/>
      <c r="M748" s="26"/>
      <c r="N748" s="26"/>
      <c r="O748" s="26"/>
      <c r="P748" s="26"/>
    </row>
    <row r="749">
      <c r="A749" s="26"/>
      <c r="B749" s="26"/>
      <c r="C749" s="26"/>
      <c r="D749" s="26"/>
      <c r="E749" s="26"/>
      <c r="F749" s="26"/>
      <c r="G749" s="26"/>
      <c r="H749" s="26"/>
      <c r="I749" s="26"/>
      <c r="J749" s="26"/>
      <c r="K749" s="27"/>
      <c r="L749" s="26"/>
      <c r="M749" s="26"/>
      <c r="N749" s="26"/>
      <c r="O749" s="26"/>
      <c r="P749" s="26"/>
    </row>
    <row r="750">
      <c r="A750" s="26"/>
      <c r="B750" s="26"/>
      <c r="C750" s="26"/>
      <c r="D750" s="26"/>
      <c r="E750" s="26"/>
      <c r="F750" s="26"/>
      <c r="G750" s="26"/>
      <c r="H750" s="26"/>
      <c r="I750" s="26"/>
      <c r="J750" s="26"/>
      <c r="K750" s="27"/>
      <c r="L750" s="26"/>
      <c r="M750" s="26"/>
      <c r="N750" s="26"/>
      <c r="O750" s="26"/>
      <c r="P750" s="26"/>
    </row>
    <row r="751">
      <c r="A751" s="26"/>
      <c r="B751" s="26"/>
      <c r="C751" s="26"/>
      <c r="D751" s="26"/>
      <c r="E751" s="26"/>
      <c r="F751" s="26"/>
      <c r="G751" s="26"/>
      <c r="H751" s="26"/>
      <c r="I751" s="26"/>
      <c r="J751" s="26"/>
      <c r="K751" s="27"/>
      <c r="L751" s="26"/>
      <c r="M751" s="26"/>
      <c r="N751" s="26"/>
      <c r="O751" s="26"/>
      <c r="P751" s="26"/>
    </row>
    <row r="752">
      <c r="A752" s="26"/>
      <c r="B752" s="26"/>
      <c r="C752" s="26"/>
      <c r="D752" s="26"/>
      <c r="E752" s="26"/>
      <c r="F752" s="26"/>
      <c r="G752" s="26"/>
      <c r="H752" s="26"/>
      <c r="I752" s="26"/>
      <c r="J752" s="26"/>
      <c r="K752" s="27"/>
      <c r="L752" s="26"/>
      <c r="M752" s="26"/>
      <c r="N752" s="26"/>
      <c r="O752" s="26"/>
      <c r="P752" s="26"/>
    </row>
    <row r="753">
      <c r="A753" s="26"/>
      <c r="B753" s="26"/>
      <c r="C753" s="26"/>
      <c r="D753" s="26"/>
      <c r="E753" s="26"/>
      <c r="F753" s="26"/>
      <c r="G753" s="26"/>
      <c r="H753" s="26"/>
      <c r="I753" s="26"/>
      <c r="J753" s="26"/>
      <c r="K753" s="27"/>
      <c r="L753" s="26"/>
      <c r="M753" s="26"/>
      <c r="N753" s="26"/>
      <c r="O753" s="26"/>
      <c r="P753" s="26"/>
    </row>
    <row r="754">
      <c r="A754" s="26"/>
      <c r="B754" s="26"/>
      <c r="C754" s="26"/>
      <c r="D754" s="26"/>
      <c r="E754" s="26"/>
      <c r="F754" s="26"/>
      <c r="G754" s="26"/>
      <c r="H754" s="26"/>
      <c r="I754" s="26"/>
      <c r="J754" s="26"/>
      <c r="K754" s="27"/>
      <c r="L754" s="26"/>
      <c r="M754" s="26"/>
      <c r="N754" s="26"/>
      <c r="O754" s="26"/>
      <c r="P754" s="26"/>
    </row>
    <row r="755">
      <c r="A755" s="26"/>
      <c r="B755" s="26"/>
      <c r="C755" s="26"/>
      <c r="D755" s="26"/>
      <c r="E755" s="26"/>
      <c r="F755" s="26"/>
      <c r="G755" s="26"/>
      <c r="H755" s="26"/>
      <c r="I755" s="26"/>
      <c r="J755" s="26"/>
      <c r="K755" s="27"/>
      <c r="L755" s="26"/>
      <c r="M755" s="26"/>
      <c r="N755" s="26"/>
      <c r="O755" s="26"/>
      <c r="P755" s="26"/>
    </row>
    <row r="756">
      <c r="A756" s="26"/>
      <c r="B756" s="26"/>
      <c r="C756" s="26"/>
      <c r="D756" s="26"/>
      <c r="E756" s="26"/>
      <c r="F756" s="26"/>
      <c r="G756" s="26"/>
      <c r="H756" s="26"/>
      <c r="I756" s="26"/>
      <c r="J756" s="26"/>
      <c r="K756" s="27"/>
      <c r="L756" s="26"/>
      <c r="M756" s="26"/>
      <c r="N756" s="26"/>
      <c r="O756" s="26"/>
      <c r="P756" s="26"/>
    </row>
    <row r="757">
      <c r="A757" s="26"/>
      <c r="B757" s="26"/>
      <c r="C757" s="26"/>
      <c r="D757" s="26"/>
      <c r="E757" s="26"/>
      <c r="F757" s="26"/>
      <c r="G757" s="26"/>
      <c r="H757" s="26"/>
      <c r="I757" s="26"/>
      <c r="J757" s="26"/>
      <c r="K757" s="27"/>
      <c r="L757" s="26"/>
      <c r="M757" s="26"/>
      <c r="N757" s="26"/>
      <c r="O757" s="26"/>
      <c r="P757" s="26"/>
    </row>
    <row r="758">
      <c r="A758" s="26"/>
      <c r="B758" s="26"/>
      <c r="C758" s="26"/>
      <c r="D758" s="26"/>
      <c r="E758" s="26"/>
      <c r="F758" s="26"/>
      <c r="G758" s="26"/>
      <c r="H758" s="26"/>
      <c r="I758" s="26"/>
      <c r="J758" s="26"/>
      <c r="K758" s="27"/>
      <c r="L758" s="26"/>
      <c r="M758" s="26"/>
      <c r="N758" s="26"/>
      <c r="O758" s="26"/>
      <c r="P758" s="26"/>
    </row>
    <row r="759">
      <c r="A759" s="26"/>
      <c r="B759" s="26"/>
      <c r="C759" s="26"/>
      <c r="D759" s="26"/>
      <c r="E759" s="26"/>
      <c r="F759" s="26"/>
      <c r="G759" s="26"/>
      <c r="H759" s="26"/>
      <c r="I759" s="26"/>
      <c r="J759" s="26"/>
      <c r="K759" s="27"/>
      <c r="L759" s="26"/>
      <c r="M759" s="26"/>
      <c r="N759" s="26"/>
      <c r="O759" s="26"/>
      <c r="P759" s="26"/>
    </row>
    <row r="760">
      <c r="A760" s="26"/>
      <c r="B760" s="26"/>
      <c r="C760" s="26"/>
      <c r="D760" s="26"/>
      <c r="E760" s="26"/>
      <c r="F760" s="26"/>
      <c r="G760" s="26"/>
      <c r="H760" s="26"/>
      <c r="I760" s="26"/>
      <c r="J760" s="26"/>
      <c r="K760" s="27"/>
      <c r="L760" s="26"/>
      <c r="M760" s="26"/>
      <c r="N760" s="26"/>
      <c r="O760" s="26"/>
      <c r="P760" s="26"/>
    </row>
    <row r="761">
      <c r="A761" s="26"/>
      <c r="B761" s="26"/>
      <c r="C761" s="26"/>
      <c r="D761" s="26"/>
      <c r="E761" s="26"/>
      <c r="F761" s="26"/>
      <c r="G761" s="26"/>
      <c r="H761" s="26"/>
      <c r="I761" s="26"/>
      <c r="J761" s="26"/>
      <c r="K761" s="27"/>
      <c r="L761" s="26"/>
      <c r="M761" s="26"/>
      <c r="N761" s="26"/>
      <c r="O761" s="26"/>
      <c r="P761" s="26"/>
    </row>
    <row r="762">
      <c r="A762" s="26"/>
      <c r="B762" s="26"/>
      <c r="C762" s="26"/>
      <c r="D762" s="26"/>
      <c r="E762" s="26"/>
      <c r="F762" s="26"/>
      <c r="G762" s="26"/>
      <c r="H762" s="26"/>
      <c r="I762" s="26"/>
      <c r="J762" s="26"/>
      <c r="K762" s="27"/>
      <c r="L762" s="26"/>
      <c r="M762" s="26"/>
      <c r="N762" s="26"/>
      <c r="O762" s="26"/>
      <c r="P762" s="26"/>
    </row>
    <row r="763">
      <c r="A763" s="26"/>
      <c r="B763" s="26"/>
      <c r="C763" s="26"/>
      <c r="D763" s="26"/>
      <c r="E763" s="26"/>
      <c r="F763" s="26"/>
      <c r="G763" s="26"/>
      <c r="H763" s="26"/>
      <c r="I763" s="26"/>
      <c r="J763" s="26"/>
      <c r="K763" s="27"/>
      <c r="L763" s="26"/>
      <c r="M763" s="26"/>
      <c r="N763" s="26"/>
      <c r="O763" s="26"/>
      <c r="P763" s="26"/>
    </row>
    <row r="764">
      <c r="A764" s="26"/>
      <c r="B764" s="26"/>
      <c r="C764" s="26"/>
      <c r="D764" s="26"/>
      <c r="E764" s="26"/>
      <c r="F764" s="26"/>
      <c r="G764" s="26"/>
      <c r="H764" s="26"/>
      <c r="I764" s="26"/>
      <c r="J764" s="26"/>
      <c r="K764" s="27"/>
      <c r="L764" s="26"/>
      <c r="M764" s="26"/>
      <c r="N764" s="26"/>
      <c r="O764" s="26"/>
      <c r="P764" s="26"/>
    </row>
    <row r="765">
      <c r="A765" s="26"/>
      <c r="B765" s="26"/>
      <c r="C765" s="26"/>
      <c r="D765" s="26"/>
      <c r="E765" s="26"/>
      <c r="F765" s="26"/>
      <c r="G765" s="26"/>
      <c r="H765" s="26"/>
      <c r="I765" s="26"/>
      <c r="J765" s="26"/>
      <c r="K765" s="27"/>
      <c r="L765" s="26"/>
      <c r="M765" s="26"/>
      <c r="N765" s="26"/>
      <c r="O765" s="26"/>
      <c r="P765" s="26"/>
    </row>
    <row r="766">
      <c r="A766" s="26"/>
      <c r="B766" s="26"/>
      <c r="C766" s="26"/>
      <c r="D766" s="26"/>
      <c r="E766" s="26"/>
      <c r="F766" s="26"/>
      <c r="G766" s="26"/>
      <c r="H766" s="26"/>
      <c r="I766" s="26"/>
      <c r="J766" s="26"/>
      <c r="K766" s="27"/>
      <c r="L766" s="26"/>
      <c r="M766" s="26"/>
      <c r="N766" s="26"/>
      <c r="O766" s="26"/>
      <c r="P766" s="26"/>
    </row>
    <row r="767">
      <c r="A767" s="26"/>
      <c r="B767" s="26"/>
      <c r="C767" s="26"/>
      <c r="D767" s="26"/>
      <c r="E767" s="26"/>
      <c r="F767" s="26"/>
      <c r="G767" s="26"/>
      <c r="H767" s="26"/>
      <c r="I767" s="26"/>
      <c r="J767" s="26"/>
      <c r="K767" s="27"/>
      <c r="L767" s="26"/>
      <c r="M767" s="26"/>
      <c r="N767" s="26"/>
      <c r="O767" s="26"/>
      <c r="P767" s="26"/>
    </row>
    <row r="768">
      <c r="A768" s="26"/>
      <c r="B768" s="26"/>
      <c r="C768" s="26"/>
      <c r="D768" s="26"/>
      <c r="E768" s="26"/>
      <c r="F768" s="26"/>
      <c r="G768" s="26"/>
      <c r="H768" s="26"/>
      <c r="I768" s="26"/>
      <c r="J768" s="26"/>
      <c r="K768" s="27"/>
      <c r="L768" s="26"/>
      <c r="M768" s="26"/>
      <c r="N768" s="26"/>
      <c r="O768" s="26"/>
      <c r="P768" s="26"/>
    </row>
    <row r="769">
      <c r="A769" s="26"/>
      <c r="B769" s="26"/>
      <c r="C769" s="26"/>
      <c r="D769" s="26"/>
      <c r="E769" s="26"/>
      <c r="F769" s="26"/>
      <c r="G769" s="26"/>
      <c r="H769" s="26"/>
      <c r="I769" s="26"/>
      <c r="J769" s="26"/>
      <c r="K769" s="27"/>
      <c r="L769" s="26"/>
      <c r="M769" s="26"/>
      <c r="N769" s="26"/>
      <c r="O769" s="26"/>
      <c r="P769" s="26"/>
    </row>
    <row r="770">
      <c r="A770" s="26"/>
      <c r="B770" s="26"/>
      <c r="C770" s="26"/>
      <c r="D770" s="26"/>
      <c r="E770" s="26"/>
      <c r="F770" s="26"/>
      <c r="G770" s="26"/>
      <c r="H770" s="26"/>
      <c r="I770" s="26"/>
      <c r="J770" s="26"/>
      <c r="K770" s="27"/>
      <c r="L770" s="26"/>
      <c r="M770" s="26"/>
      <c r="N770" s="26"/>
      <c r="O770" s="26"/>
      <c r="P770" s="26"/>
    </row>
    <row r="771">
      <c r="A771" s="26"/>
      <c r="B771" s="26"/>
      <c r="C771" s="26"/>
      <c r="D771" s="26"/>
      <c r="E771" s="26"/>
      <c r="F771" s="26"/>
      <c r="G771" s="26"/>
      <c r="H771" s="26"/>
      <c r="I771" s="26"/>
      <c r="J771" s="26"/>
      <c r="K771" s="27"/>
      <c r="L771" s="26"/>
      <c r="M771" s="26"/>
      <c r="N771" s="26"/>
      <c r="O771" s="26"/>
      <c r="P771" s="26"/>
    </row>
    <row r="772">
      <c r="A772" s="26"/>
      <c r="B772" s="26"/>
      <c r="C772" s="26"/>
      <c r="D772" s="26"/>
      <c r="E772" s="26"/>
      <c r="F772" s="26"/>
      <c r="G772" s="26"/>
      <c r="H772" s="26"/>
      <c r="I772" s="26"/>
      <c r="J772" s="26"/>
      <c r="K772" s="27"/>
      <c r="L772" s="26"/>
      <c r="M772" s="26"/>
      <c r="N772" s="26"/>
      <c r="O772" s="26"/>
      <c r="P772" s="26"/>
    </row>
    <row r="773">
      <c r="A773" s="26"/>
      <c r="B773" s="26"/>
      <c r="C773" s="26"/>
      <c r="D773" s="26"/>
      <c r="E773" s="26"/>
      <c r="F773" s="26"/>
      <c r="G773" s="26"/>
      <c r="H773" s="26"/>
      <c r="I773" s="26"/>
      <c r="J773" s="26"/>
      <c r="K773" s="27"/>
      <c r="L773" s="26"/>
      <c r="M773" s="26"/>
      <c r="N773" s="26"/>
      <c r="O773" s="26"/>
      <c r="P773" s="26"/>
    </row>
    <row r="774">
      <c r="A774" s="26"/>
      <c r="B774" s="26"/>
      <c r="C774" s="26"/>
      <c r="D774" s="26"/>
      <c r="E774" s="26"/>
      <c r="F774" s="26"/>
      <c r="G774" s="26"/>
      <c r="H774" s="26"/>
      <c r="I774" s="26"/>
      <c r="J774" s="26"/>
      <c r="K774" s="27"/>
      <c r="L774" s="26"/>
      <c r="M774" s="26"/>
      <c r="N774" s="26"/>
      <c r="O774" s="26"/>
      <c r="P774" s="26"/>
    </row>
    <row r="775">
      <c r="A775" s="26"/>
      <c r="B775" s="26"/>
      <c r="C775" s="26"/>
      <c r="D775" s="26"/>
      <c r="E775" s="26"/>
      <c r="F775" s="26"/>
      <c r="G775" s="26"/>
      <c r="H775" s="26"/>
      <c r="I775" s="26"/>
      <c r="J775" s="26"/>
      <c r="K775" s="27"/>
      <c r="L775" s="26"/>
      <c r="M775" s="26"/>
      <c r="N775" s="26"/>
      <c r="O775" s="26"/>
      <c r="P775" s="26"/>
    </row>
    <row r="776">
      <c r="A776" s="26"/>
      <c r="B776" s="26"/>
      <c r="C776" s="26"/>
      <c r="D776" s="26"/>
      <c r="E776" s="26"/>
      <c r="F776" s="26"/>
      <c r="G776" s="26"/>
      <c r="H776" s="26"/>
      <c r="I776" s="26"/>
      <c r="J776" s="26"/>
      <c r="K776" s="27"/>
      <c r="L776" s="26"/>
      <c r="M776" s="26"/>
      <c r="N776" s="26"/>
      <c r="O776" s="26"/>
      <c r="P776" s="26"/>
    </row>
    <row r="777">
      <c r="A777" s="26"/>
      <c r="B777" s="26"/>
      <c r="C777" s="26"/>
      <c r="D777" s="26"/>
      <c r="E777" s="26"/>
      <c r="F777" s="26"/>
      <c r="G777" s="26"/>
      <c r="H777" s="26"/>
      <c r="I777" s="26"/>
      <c r="J777" s="26"/>
      <c r="K777" s="27"/>
      <c r="L777" s="26"/>
      <c r="M777" s="26"/>
      <c r="N777" s="26"/>
      <c r="O777" s="26"/>
      <c r="P777" s="26"/>
    </row>
    <row r="778">
      <c r="A778" s="26"/>
      <c r="B778" s="26"/>
      <c r="C778" s="26"/>
      <c r="D778" s="26"/>
      <c r="E778" s="26"/>
      <c r="F778" s="26"/>
      <c r="G778" s="26"/>
      <c r="H778" s="26"/>
      <c r="I778" s="26"/>
      <c r="J778" s="26"/>
      <c r="K778" s="27"/>
      <c r="L778" s="26"/>
      <c r="M778" s="26"/>
      <c r="N778" s="26"/>
      <c r="O778" s="26"/>
      <c r="P778" s="26"/>
    </row>
    <row r="779">
      <c r="A779" s="26"/>
      <c r="B779" s="26"/>
      <c r="C779" s="26"/>
      <c r="D779" s="26"/>
      <c r="E779" s="26"/>
      <c r="F779" s="26"/>
      <c r="G779" s="26"/>
      <c r="H779" s="26"/>
      <c r="I779" s="26"/>
      <c r="J779" s="26"/>
      <c r="K779" s="27"/>
      <c r="L779" s="26"/>
      <c r="M779" s="26"/>
      <c r="N779" s="26"/>
      <c r="O779" s="26"/>
      <c r="P779" s="26"/>
    </row>
    <row r="780">
      <c r="A780" s="26"/>
      <c r="B780" s="26"/>
      <c r="C780" s="26"/>
      <c r="D780" s="26"/>
      <c r="E780" s="26"/>
      <c r="F780" s="26"/>
      <c r="G780" s="26"/>
      <c r="H780" s="26"/>
      <c r="I780" s="26"/>
      <c r="J780" s="26"/>
      <c r="K780" s="27"/>
      <c r="L780" s="26"/>
      <c r="M780" s="26"/>
      <c r="N780" s="26"/>
      <c r="O780" s="26"/>
      <c r="P780" s="26"/>
    </row>
    <row r="781">
      <c r="A781" s="26"/>
      <c r="B781" s="26"/>
      <c r="C781" s="26"/>
      <c r="D781" s="26"/>
      <c r="E781" s="26"/>
      <c r="F781" s="26"/>
      <c r="G781" s="26"/>
      <c r="H781" s="26"/>
      <c r="I781" s="26"/>
      <c r="J781" s="26"/>
      <c r="K781" s="27"/>
      <c r="L781" s="26"/>
      <c r="M781" s="26"/>
      <c r="N781" s="26"/>
      <c r="O781" s="26"/>
      <c r="P781" s="26"/>
    </row>
    <row r="782">
      <c r="A782" s="26"/>
      <c r="B782" s="26"/>
      <c r="C782" s="26"/>
      <c r="D782" s="26"/>
      <c r="E782" s="26"/>
      <c r="F782" s="26"/>
      <c r="G782" s="26"/>
      <c r="H782" s="26"/>
      <c r="I782" s="26"/>
      <c r="J782" s="26"/>
      <c r="K782" s="27"/>
      <c r="L782" s="26"/>
      <c r="M782" s="26"/>
      <c r="N782" s="26"/>
      <c r="O782" s="26"/>
      <c r="P782" s="26"/>
    </row>
    <row r="783">
      <c r="A783" s="26"/>
      <c r="B783" s="26"/>
      <c r="C783" s="26"/>
      <c r="D783" s="26"/>
      <c r="E783" s="26"/>
      <c r="F783" s="26"/>
      <c r="G783" s="26"/>
      <c r="H783" s="26"/>
      <c r="I783" s="26"/>
      <c r="J783" s="26"/>
      <c r="K783" s="27"/>
      <c r="L783" s="26"/>
      <c r="M783" s="26"/>
      <c r="N783" s="26"/>
      <c r="O783" s="26"/>
      <c r="P783" s="26"/>
    </row>
    <row r="784">
      <c r="A784" s="26"/>
      <c r="B784" s="26"/>
      <c r="C784" s="26"/>
      <c r="D784" s="26"/>
      <c r="E784" s="26"/>
      <c r="F784" s="26"/>
      <c r="G784" s="26"/>
      <c r="H784" s="26"/>
      <c r="I784" s="26"/>
      <c r="J784" s="26"/>
      <c r="K784" s="27"/>
      <c r="L784" s="26"/>
      <c r="M784" s="26"/>
      <c r="N784" s="26"/>
      <c r="O784" s="26"/>
      <c r="P784" s="26"/>
    </row>
    <row r="785">
      <c r="A785" s="26"/>
      <c r="B785" s="26"/>
      <c r="C785" s="26"/>
      <c r="D785" s="26"/>
      <c r="E785" s="26"/>
      <c r="F785" s="26"/>
      <c r="G785" s="26"/>
      <c r="H785" s="26"/>
      <c r="I785" s="26"/>
      <c r="J785" s="26"/>
      <c r="K785" s="27"/>
      <c r="L785" s="26"/>
      <c r="M785" s="26"/>
      <c r="N785" s="26"/>
      <c r="O785" s="26"/>
      <c r="P785" s="26"/>
    </row>
    <row r="786">
      <c r="A786" s="26"/>
      <c r="B786" s="26"/>
      <c r="C786" s="26"/>
      <c r="D786" s="26"/>
      <c r="E786" s="26"/>
      <c r="F786" s="26"/>
      <c r="G786" s="26"/>
      <c r="H786" s="26"/>
      <c r="I786" s="26"/>
      <c r="J786" s="26"/>
      <c r="K786" s="27"/>
      <c r="L786" s="26"/>
      <c r="M786" s="26"/>
      <c r="N786" s="26"/>
      <c r="O786" s="26"/>
      <c r="P786" s="26"/>
    </row>
    <row r="787">
      <c r="A787" s="26"/>
      <c r="B787" s="26"/>
      <c r="C787" s="26"/>
      <c r="D787" s="26"/>
      <c r="E787" s="26"/>
      <c r="F787" s="26"/>
      <c r="G787" s="26"/>
      <c r="H787" s="26"/>
      <c r="I787" s="26"/>
      <c r="J787" s="26"/>
      <c r="K787" s="27"/>
      <c r="L787" s="26"/>
      <c r="M787" s="26"/>
      <c r="N787" s="26"/>
      <c r="O787" s="26"/>
      <c r="P787" s="26"/>
    </row>
    <row r="788">
      <c r="A788" s="26"/>
      <c r="B788" s="26"/>
      <c r="C788" s="26"/>
      <c r="D788" s="26"/>
      <c r="E788" s="26"/>
      <c r="F788" s="26"/>
      <c r="G788" s="26"/>
      <c r="H788" s="26"/>
      <c r="I788" s="26"/>
      <c r="J788" s="26"/>
      <c r="K788" s="27"/>
      <c r="L788" s="26"/>
      <c r="M788" s="26"/>
      <c r="N788" s="26"/>
      <c r="O788" s="26"/>
      <c r="P788" s="26"/>
    </row>
    <row r="789">
      <c r="A789" s="26"/>
      <c r="B789" s="26"/>
      <c r="C789" s="26"/>
      <c r="D789" s="26"/>
      <c r="E789" s="26"/>
      <c r="F789" s="26"/>
      <c r="G789" s="26"/>
      <c r="H789" s="26"/>
      <c r="I789" s="26"/>
      <c r="J789" s="26"/>
      <c r="K789" s="27"/>
      <c r="L789" s="26"/>
      <c r="M789" s="26"/>
      <c r="N789" s="26"/>
      <c r="O789" s="26"/>
      <c r="P789" s="26"/>
    </row>
    <row r="790">
      <c r="A790" s="26"/>
      <c r="B790" s="26"/>
      <c r="C790" s="26"/>
      <c r="D790" s="26"/>
      <c r="E790" s="26"/>
      <c r="F790" s="26"/>
      <c r="G790" s="26"/>
      <c r="H790" s="26"/>
      <c r="I790" s="26"/>
      <c r="J790" s="26"/>
      <c r="K790" s="27"/>
      <c r="L790" s="26"/>
      <c r="M790" s="26"/>
      <c r="N790" s="26"/>
      <c r="O790" s="26"/>
      <c r="P790" s="26"/>
    </row>
    <row r="791">
      <c r="A791" s="26"/>
      <c r="B791" s="26"/>
      <c r="C791" s="26"/>
      <c r="D791" s="26"/>
      <c r="E791" s="26"/>
      <c r="F791" s="26"/>
      <c r="G791" s="26"/>
      <c r="H791" s="26"/>
      <c r="I791" s="26"/>
      <c r="J791" s="26"/>
      <c r="K791" s="27"/>
      <c r="L791" s="26"/>
      <c r="M791" s="26"/>
      <c r="N791" s="26"/>
      <c r="O791" s="26"/>
      <c r="P791" s="26"/>
    </row>
    <row r="792">
      <c r="A792" s="26"/>
      <c r="B792" s="26"/>
      <c r="C792" s="26"/>
      <c r="D792" s="26"/>
      <c r="E792" s="26"/>
      <c r="F792" s="26"/>
      <c r="G792" s="26"/>
      <c r="H792" s="26"/>
      <c r="I792" s="26"/>
      <c r="J792" s="26"/>
      <c r="K792" s="27"/>
      <c r="L792" s="26"/>
      <c r="M792" s="26"/>
      <c r="N792" s="26"/>
      <c r="O792" s="26"/>
      <c r="P792" s="26"/>
    </row>
    <row r="793">
      <c r="A793" s="26"/>
      <c r="B793" s="26"/>
      <c r="C793" s="26"/>
      <c r="D793" s="26"/>
      <c r="E793" s="26"/>
      <c r="F793" s="26"/>
      <c r="G793" s="26"/>
      <c r="H793" s="26"/>
      <c r="I793" s="26"/>
      <c r="J793" s="26"/>
      <c r="K793" s="27"/>
      <c r="L793" s="26"/>
      <c r="M793" s="26"/>
      <c r="N793" s="26"/>
      <c r="O793" s="26"/>
      <c r="P793" s="26"/>
    </row>
    <row r="794">
      <c r="A794" s="26"/>
      <c r="B794" s="26"/>
      <c r="C794" s="26"/>
      <c r="D794" s="26"/>
      <c r="E794" s="26"/>
      <c r="F794" s="26"/>
      <c r="G794" s="26"/>
      <c r="H794" s="26"/>
      <c r="I794" s="26"/>
      <c r="J794" s="26"/>
      <c r="K794" s="27"/>
      <c r="L794" s="26"/>
      <c r="M794" s="26"/>
      <c r="N794" s="26"/>
      <c r="O794" s="26"/>
      <c r="P794" s="26"/>
    </row>
    <row r="795">
      <c r="A795" s="26"/>
      <c r="B795" s="26"/>
      <c r="C795" s="26"/>
      <c r="D795" s="26"/>
      <c r="E795" s="26"/>
      <c r="F795" s="26"/>
      <c r="G795" s="26"/>
      <c r="H795" s="26"/>
      <c r="I795" s="26"/>
      <c r="J795" s="26"/>
      <c r="K795" s="27"/>
      <c r="L795" s="26"/>
      <c r="M795" s="26"/>
      <c r="N795" s="26"/>
      <c r="O795" s="26"/>
      <c r="P795" s="26"/>
    </row>
    <row r="796">
      <c r="A796" s="26"/>
      <c r="B796" s="26"/>
      <c r="C796" s="26"/>
      <c r="D796" s="26"/>
      <c r="E796" s="26"/>
      <c r="F796" s="26"/>
      <c r="G796" s="26"/>
      <c r="H796" s="26"/>
      <c r="I796" s="26"/>
      <c r="J796" s="26"/>
      <c r="K796" s="27"/>
      <c r="L796" s="26"/>
      <c r="M796" s="26"/>
      <c r="N796" s="26"/>
      <c r="O796" s="26"/>
      <c r="P796" s="26"/>
    </row>
    <row r="797">
      <c r="A797" s="26"/>
      <c r="B797" s="26"/>
      <c r="C797" s="26"/>
      <c r="D797" s="26"/>
      <c r="E797" s="26"/>
      <c r="F797" s="26"/>
      <c r="G797" s="26"/>
      <c r="H797" s="26"/>
      <c r="I797" s="26"/>
      <c r="J797" s="26"/>
      <c r="K797" s="27"/>
      <c r="L797" s="26"/>
      <c r="M797" s="26"/>
      <c r="N797" s="26"/>
      <c r="O797" s="26"/>
      <c r="P797" s="26"/>
    </row>
    <row r="798">
      <c r="A798" s="26"/>
      <c r="B798" s="26"/>
      <c r="C798" s="26"/>
      <c r="D798" s="26"/>
      <c r="E798" s="26"/>
      <c r="F798" s="26"/>
      <c r="G798" s="26"/>
      <c r="H798" s="26"/>
      <c r="I798" s="26"/>
      <c r="J798" s="26"/>
      <c r="K798" s="27"/>
      <c r="L798" s="26"/>
      <c r="M798" s="26"/>
      <c r="N798" s="26"/>
      <c r="O798" s="26"/>
      <c r="P798" s="26"/>
    </row>
    <row r="799">
      <c r="A799" s="26"/>
      <c r="B799" s="26"/>
      <c r="C799" s="26"/>
      <c r="D799" s="26"/>
      <c r="E799" s="26"/>
      <c r="F799" s="26"/>
      <c r="G799" s="26"/>
      <c r="H799" s="26"/>
      <c r="I799" s="26"/>
      <c r="J799" s="26"/>
      <c r="K799" s="27"/>
      <c r="L799" s="26"/>
      <c r="M799" s="26"/>
      <c r="N799" s="26"/>
      <c r="O799" s="26"/>
      <c r="P799" s="26"/>
    </row>
    <row r="800">
      <c r="A800" s="26"/>
      <c r="B800" s="26"/>
      <c r="C800" s="26"/>
      <c r="D800" s="26"/>
      <c r="E800" s="26"/>
      <c r="F800" s="26"/>
      <c r="G800" s="26"/>
      <c r="H800" s="26"/>
      <c r="I800" s="26"/>
      <c r="J800" s="26"/>
      <c r="K800" s="27"/>
      <c r="L800" s="26"/>
      <c r="M800" s="26"/>
      <c r="N800" s="26"/>
      <c r="O800" s="26"/>
      <c r="P800" s="26"/>
    </row>
    <row r="801">
      <c r="A801" s="26"/>
      <c r="B801" s="26"/>
      <c r="C801" s="26"/>
      <c r="D801" s="26"/>
      <c r="E801" s="26"/>
      <c r="F801" s="26"/>
      <c r="G801" s="26"/>
      <c r="H801" s="26"/>
      <c r="I801" s="26"/>
      <c r="J801" s="26"/>
      <c r="K801" s="27"/>
      <c r="L801" s="26"/>
      <c r="M801" s="26"/>
      <c r="N801" s="26"/>
      <c r="O801" s="26"/>
      <c r="P801" s="26"/>
    </row>
    <row r="802">
      <c r="A802" s="26"/>
      <c r="B802" s="26"/>
      <c r="C802" s="26"/>
      <c r="D802" s="26"/>
      <c r="E802" s="26"/>
      <c r="F802" s="26"/>
      <c r="G802" s="26"/>
      <c r="H802" s="26"/>
      <c r="I802" s="26"/>
      <c r="J802" s="26"/>
      <c r="K802" s="27"/>
      <c r="L802" s="26"/>
      <c r="M802" s="26"/>
      <c r="N802" s="26"/>
      <c r="O802" s="26"/>
      <c r="P802" s="26"/>
    </row>
    <row r="803">
      <c r="A803" s="26"/>
      <c r="B803" s="26"/>
      <c r="C803" s="26"/>
      <c r="D803" s="26"/>
      <c r="E803" s="26"/>
      <c r="F803" s="26"/>
      <c r="G803" s="26"/>
      <c r="H803" s="26"/>
      <c r="I803" s="26"/>
      <c r="J803" s="26"/>
      <c r="K803" s="27"/>
      <c r="L803" s="26"/>
      <c r="M803" s="26"/>
      <c r="N803" s="26"/>
      <c r="O803" s="26"/>
      <c r="P803" s="26"/>
    </row>
    <row r="804">
      <c r="A804" s="26"/>
      <c r="B804" s="26"/>
      <c r="C804" s="26"/>
      <c r="D804" s="26"/>
      <c r="E804" s="26"/>
      <c r="F804" s="26"/>
      <c r="G804" s="26"/>
      <c r="H804" s="26"/>
      <c r="I804" s="26"/>
      <c r="J804" s="26"/>
      <c r="K804" s="27"/>
      <c r="L804" s="26"/>
      <c r="M804" s="26"/>
      <c r="N804" s="26"/>
      <c r="O804" s="26"/>
      <c r="P804" s="26"/>
    </row>
    <row r="805">
      <c r="A805" s="26"/>
      <c r="B805" s="26"/>
      <c r="C805" s="26"/>
      <c r="D805" s="26"/>
      <c r="E805" s="26"/>
      <c r="F805" s="26"/>
      <c r="G805" s="26"/>
      <c r="H805" s="26"/>
      <c r="I805" s="26"/>
      <c r="J805" s="26"/>
      <c r="K805" s="27"/>
      <c r="L805" s="26"/>
      <c r="M805" s="26"/>
      <c r="N805" s="26"/>
      <c r="O805" s="26"/>
      <c r="P805" s="26"/>
    </row>
    <row r="806">
      <c r="A806" s="26"/>
      <c r="B806" s="26"/>
      <c r="C806" s="26"/>
      <c r="D806" s="26"/>
      <c r="E806" s="26"/>
      <c r="F806" s="26"/>
      <c r="G806" s="26"/>
      <c r="H806" s="26"/>
      <c r="I806" s="26"/>
      <c r="J806" s="26"/>
      <c r="K806" s="27"/>
      <c r="L806" s="26"/>
      <c r="M806" s="26"/>
      <c r="N806" s="26"/>
      <c r="O806" s="26"/>
      <c r="P806" s="26"/>
    </row>
    <row r="807">
      <c r="A807" s="26"/>
      <c r="B807" s="26"/>
      <c r="C807" s="26"/>
      <c r="D807" s="26"/>
      <c r="E807" s="26"/>
      <c r="F807" s="26"/>
      <c r="G807" s="26"/>
      <c r="H807" s="26"/>
      <c r="I807" s="26"/>
      <c r="J807" s="26"/>
      <c r="K807" s="27"/>
      <c r="L807" s="26"/>
      <c r="M807" s="26"/>
      <c r="N807" s="26"/>
      <c r="O807" s="26"/>
      <c r="P807" s="26"/>
    </row>
    <row r="808">
      <c r="A808" s="26"/>
      <c r="B808" s="26"/>
      <c r="C808" s="26"/>
      <c r="D808" s="26"/>
      <c r="E808" s="26"/>
      <c r="F808" s="26"/>
      <c r="G808" s="26"/>
      <c r="H808" s="26"/>
      <c r="I808" s="26"/>
      <c r="J808" s="26"/>
      <c r="K808" s="27"/>
      <c r="L808" s="26"/>
      <c r="M808" s="26"/>
      <c r="N808" s="26"/>
      <c r="O808" s="26"/>
      <c r="P808" s="26"/>
    </row>
    <row r="809">
      <c r="A809" s="26"/>
      <c r="B809" s="26"/>
      <c r="C809" s="26"/>
      <c r="D809" s="26"/>
      <c r="E809" s="26"/>
      <c r="F809" s="26"/>
      <c r="G809" s="26"/>
      <c r="H809" s="26"/>
      <c r="I809" s="26"/>
      <c r="J809" s="26"/>
      <c r="K809" s="27"/>
      <c r="L809" s="26"/>
      <c r="M809" s="26"/>
      <c r="N809" s="26"/>
      <c r="O809" s="26"/>
      <c r="P809" s="26"/>
    </row>
    <row r="810">
      <c r="A810" s="26"/>
      <c r="B810" s="26"/>
      <c r="C810" s="26"/>
      <c r="D810" s="26"/>
      <c r="E810" s="26"/>
      <c r="F810" s="26"/>
      <c r="G810" s="26"/>
      <c r="H810" s="26"/>
      <c r="I810" s="26"/>
      <c r="J810" s="26"/>
      <c r="K810" s="27"/>
      <c r="L810" s="26"/>
      <c r="M810" s="26"/>
      <c r="N810" s="26"/>
      <c r="O810" s="26"/>
      <c r="P810" s="26"/>
    </row>
    <row r="811">
      <c r="A811" s="26"/>
      <c r="B811" s="26"/>
      <c r="C811" s="26"/>
      <c r="D811" s="26"/>
      <c r="E811" s="26"/>
      <c r="F811" s="26"/>
      <c r="G811" s="26"/>
      <c r="H811" s="26"/>
      <c r="I811" s="26"/>
      <c r="J811" s="26"/>
      <c r="K811" s="27"/>
      <c r="L811" s="26"/>
      <c r="M811" s="26"/>
      <c r="N811" s="26"/>
      <c r="O811" s="26"/>
      <c r="P811" s="26"/>
    </row>
    <row r="812">
      <c r="A812" s="26"/>
      <c r="B812" s="26"/>
      <c r="C812" s="26"/>
      <c r="D812" s="26"/>
      <c r="E812" s="26"/>
      <c r="F812" s="26"/>
      <c r="G812" s="26"/>
      <c r="H812" s="26"/>
      <c r="I812" s="26"/>
      <c r="J812" s="26"/>
      <c r="K812" s="27"/>
      <c r="L812" s="26"/>
      <c r="M812" s="26"/>
      <c r="N812" s="26"/>
      <c r="O812" s="26"/>
      <c r="P812" s="26"/>
    </row>
    <row r="813">
      <c r="A813" s="26"/>
      <c r="B813" s="26"/>
      <c r="C813" s="26"/>
      <c r="D813" s="26"/>
      <c r="E813" s="26"/>
      <c r="F813" s="26"/>
      <c r="G813" s="26"/>
      <c r="H813" s="26"/>
      <c r="I813" s="26"/>
      <c r="J813" s="26"/>
      <c r="K813" s="27"/>
      <c r="L813" s="26"/>
      <c r="M813" s="26"/>
      <c r="N813" s="26"/>
      <c r="O813" s="26"/>
      <c r="P813" s="26"/>
    </row>
    <row r="814">
      <c r="A814" s="26"/>
      <c r="B814" s="26"/>
      <c r="C814" s="26"/>
      <c r="D814" s="26"/>
      <c r="E814" s="26"/>
      <c r="F814" s="26"/>
      <c r="G814" s="26"/>
      <c r="H814" s="26"/>
      <c r="I814" s="26"/>
      <c r="J814" s="26"/>
      <c r="K814" s="27"/>
      <c r="L814" s="26"/>
      <c r="M814" s="26"/>
      <c r="N814" s="26"/>
      <c r="O814" s="26"/>
      <c r="P814" s="26"/>
    </row>
    <row r="815">
      <c r="A815" s="26"/>
      <c r="B815" s="26"/>
      <c r="C815" s="26"/>
      <c r="D815" s="26"/>
      <c r="E815" s="26"/>
      <c r="F815" s="26"/>
      <c r="G815" s="26"/>
      <c r="H815" s="26"/>
      <c r="I815" s="26"/>
      <c r="J815" s="26"/>
      <c r="K815" s="27"/>
      <c r="L815" s="26"/>
      <c r="M815" s="26"/>
      <c r="N815" s="26"/>
      <c r="O815" s="26"/>
      <c r="P815" s="26"/>
    </row>
    <row r="816">
      <c r="A816" s="26"/>
      <c r="B816" s="26"/>
      <c r="C816" s="26"/>
      <c r="D816" s="26"/>
      <c r="E816" s="26"/>
      <c r="F816" s="26"/>
      <c r="G816" s="26"/>
      <c r="H816" s="26"/>
      <c r="I816" s="26"/>
      <c r="J816" s="26"/>
      <c r="K816" s="27"/>
      <c r="L816" s="26"/>
      <c r="M816" s="26"/>
      <c r="N816" s="26"/>
      <c r="O816" s="26"/>
      <c r="P816" s="26"/>
    </row>
    <row r="817">
      <c r="A817" s="26"/>
      <c r="B817" s="26"/>
      <c r="C817" s="26"/>
      <c r="D817" s="26"/>
      <c r="E817" s="26"/>
      <c r="F817" s="26"/>
      <c r="G817" s="26"/>
      <c r="H817" s="26"/>
      <c r="I817" s="26"/>
      <c r="J817" s="26"/>
      <c r="K817" s="27"/>
      <c r="L817" s="26"/>
      <c r="M817" s="26"/>
      <c r="N817" s="26"/>
      <c r="O817" s="26"/>
      <c r="P817" s="26"/>
    </row>
    <row r="818">
      <c r="A818" s="26"/>
      <c r="B818" s="26"/>
      <c r="C818" s="26"/>
      <c r="D818" s="26"/>
      <c r="E818" s="26"/>
      <c r="F818" s="26"/>
      <c r="G818" s="26"/>
      <c r="H818" s="26"/>
      <c r="I818" s="26"/>
      <c r="J818" s="26"/>
      <c r="K818" s="27"/>
      <c r="L818" s="26"/>
      <c r="M818" s="26"/>
      <c r="N818" s="26"/>
      <c r="O818" s="26"/>
      <c r="P818" s="26"/>
    </row>
    <row r="819">
      <c r="A819" s="26"/>
      <c r="B819" s="26"/>
      <c r="C819" s="26"/>
      <c r="D819" s="26"/>
      <c r="E819" s="26"/>
      <c r="F819" s="26"/>
      <c r="G819" s="26"/>
      <c r="H819" s="26"/>
      <c r="I819" s="26"/>
      <c r="J819" s="26"/>
      <c r="K819" s="27"/>
      <c r="L819" s="26"/>
      <c r="M819" s="26"/>
      <c r="N819" s="26"/>
      <c r="O819" s="26"/>
      <c r="P819" s="26"/>
    </row>
    <row r="820">
      <c r="A820" s="26"/>
      <c r="B820" s="26"/>
      <c r="C820" s="26"/>
      <c r="D820" s="26"/>
      <c r="E820" s="26"/>
      <c r="F820" s="26"/>
      <c r="G820" s="26"/>
      <c r="H820" s="26"/>
      <c r="I820" s="26"/>
      <c r="J820" s="26"/>
      <c r="K820" s="27"/>
      <c r="L820" s="26"/>
      <c r="M820" s="26"/>
      <c r="N820" s="26"/>
      <c r="O820" s="26"/>
      <c r="P820" s="26"/>
    </row>
    <row r="821">
      <c r="A821" s="26"/>
      <c r="B821" s="26"/>
      <c r="C821" s="26"/>
      <c r="D821" s="26"/>
      <c r="E821" s="26"/>
      <c r="F821" s="26"/>
      <c r="G821" s="26"/>
      <c r="H821" s="26"/>
      <c r="I821" s="26"/>
      <c r="J821" s="26"/>
      <c r="K821" s="27"/>
      <c r="L821" s="26"/>
      <c r="M821" s="26"/>
      <c r="N821" s="26"/>
      <c r="O821" s="26"/>
      <c r="P821" s="26"/>
    </row>
    <row r="822">
      <c r="A822" s="26"/>
      <c r="B822" s="26"/>
      <c r="C822" s="26"/>
      <c r="D822" s="26"/>
      <c r="E822" s="26"/>
      <c r="F822" s="26"/>
      <c r="G822" s="26"/>
      <c r="H822" s="26"/>
      <c r="I822" s="26"/>
      <c r="J822" s="26"/>
      <c r="K822" s="27"/>
      <c r="L822" s="26"/>
      <c r="M822" s="26"/>
      <c r="N822" s="26"/>
      <c r="O822" s="26"/>
      <c r="P822" s="26"/>
    </row>
    <row r="823">
      <c r="A823" s="26"/>
      <c r="B823" s="26"/>
      <c r="C823" s="26"/>
      <c r="D823" s="26"/>
      <c r="E823" s="26"/>
      <c r="F823" s="26"/>
      <c r="G823" s="26"/>
      <c r="H823" s="26"/>
      <c r="I823" s="26"/>
      <c r="J823" s="26"/>
      <c r="K823" s="27"/>
      <c r="L823" s="26"/>
      <c r="M823" s="26"/>
      <c r="N823" s="26"/>
      <c r="O823" s="26"/>
      <c r="P823" s="26"/>
    </row>
    <row r="824">
      <c r="A824" s="26"/>
      <c r="B824" s="26"/>
      <c r="C824" s="26"/>
      <c r="D824" s="26"/>
      <c r="E824" s="26"/>
      <c r="F824" s="26"/>
      <c r="G824" s="26"/>
      <c r="H824" s="26"/>
      <c r="I824" s="26"/>
      <c r="J824" s="26"/>
      <c r="K824" s="27"/>
      <c r="L824" s="26"/>
      <c r="M824" s="26"/>
      <c r="N824" s="26"/>
      <c r="O824" s="26"/>
      <c r="P824" s="26"/>
    </row>
    <row r="825">
      <c r="A825" s="26"/>
      <c r="B825" s="26"/>
      <c r="C825" s="26"/>
      <c r="D825" s="26"/>
      <c r="E825" s="26"/>
      <c r="F825" s="26"/>
      <c r="G825" s="26"/>
      <c r="H825" s="26"/>
      <c r="I825" s="26"/>
      <c r="J825" s="26"/>
      <c r="K825" s="27"/>
      <c r="L825" s="26"/>
      <c r="M825" s="26"/>
      <c r="N825" s="26"/>
      <c r="O825" s="26"/>
      <c r="P825" s="26"/>
    </row>
    <row r="826">
      <c r="A826" s="26"/>
      <c r="B826" s="26"/>
      <c r="C826" s="26"/>
      <c r="D826" s="26"/>
      <c r="E826" s="26"/>
      <c r="F826" s="26"/>
      <c r="G826" s="26"/>
      <c r="H826" s="26"/>
      <c r="I826" s="26"/>
      <c r="J826" s="26"/>
      <c r="K826" s="27"/>
      <c r="L826" s="26"/>
      <c r="M826" s="26"/>
      <c r="N826" s="26"/>
      <c r="O826" s="26"/>
      <c r="P826" s="26"/>
    </row>
    <row r="827">
      <c r="A827" s="26"/>
      <c r="B827" s="26"/>
      <c r="C827" s="26"/>
      <c r="D827" s="26"/>
      <c r="E827" s="26"/>
      <c r="F827" s="26"/>
      <c r="G827" s="26"/>
      <c r="H827" s="26"/>
      <c r="I827" s="26"/>
      <c r="J827" s="26"/>
      <c r="K827" s="27"/>
      <c r="L827" s="26"/>
      <c r="M827" s="26"/>
      <c r="N827" s="26"/>
      <c r="O827" s="26"/>
      <c r="P827" s="26"/>
    </row>
    <row r="828">
      <c r="A828" s="26"/>
      <c r="B828" s="26"/>
      <c r="C828" s="26"/>
      <c r="D828" s="26"/>
      <c r="E828" s="26"/>
      <c r="F828" s="26"/>
      <c r="G828" s="26"/>
      <c r="H828" s="26"/>
      <c r="I828" s="26"/>
      <c r="J828" s="26"/>
      <c r="K828" s="27"/>
      <c r="L828" s="26"/>
      <c r="M828" s="26"/>
      <c r="N828" s="26"/>
      <c r="O828" s="26"/>
      <c r="P828" s="26"/>
    </row>
    <row r="829">
      <c r="A829" s="26"/>
      <c r="B829" s="26"/>
      <c r="C829" s="26"/>
      <c r="D829" s="26"/>
      <c r="E829" s="26"/>
      <c r="F829" s="26"/>
      <c r="G829" s="26"/>
      <c r="H829" s="26"/>
      <c r="I829" s="26"/>
      <c r="J829" s="26"/>
      <c r="K829" s="27"/>
      <c r="L829" s="26"/>
      <c r="M829" s="26"/>
      <c r="N829" s="26"/>
      <c r="O829" s="26"/>
      <c r="P829" s="26"/>
    </row>
    <row r="830">
      <c r="A830" s="26"/>
      <c r="B830" s="26"/>
      <c r="C830" s="26"/>
      <c r="D830" s="26"/>
      <c r="E830" s="26"/>
      <c r="F830" s="26"/>
      <c r="G830" s="26"/>
      <c r="H830" s="26"/>
      <c r="I830" s="26"/>
      <c r="J830" s="26"/>
      <c r="K830" s="27"/>
      <c r="L830" s="26"/>
      <c r="M830" s="26"/>
      <c r="N830" s="26"/>
      <c r="O830" s="26"/>
      <c r="P830" s="26"/>
    </row>
    <row r="831">
      <c r="A831" s="26"/>
      <c r="B831" s="26"/>
      <c r="C831" s="26"/>
      <c r="D831" s="26"/>
      <c r="E831" s="26"/>
      <c r="F831" s="26"/>
      <c r="G831" s="26"/>
      <c r="H831" s="26"/>
      <c r="I831" s="26"/>
      <c r="J831" s="26"/>
      <c r="K831" s="27"/>
      <c r="L831" s="26"/>
      <c r="M831" s="26"/>
      <c r="N831" s="26"/>
      <c r="O831" s="26"/>
      <c r="P831" s="26"/>
    </row>
    <row r="832">
      <c r="A832" s="26"/>
      <c r="B832" s="26"/>
      <c r="C832" s="26"/>
      <c r="D832" s="26"/>
      <c r="E832" s="26"/>
      <c r="F832" s="26"/>
      <c r="G832" s="26"/>
      <c r="H832" s="26"/>
      <c r="I832" s="26"/>
      <c r="J832" s="26"/>
      <c r="K832" s="27"/>
      <c r="L832" s="26"/>
      <c r="M832" s="26"/>
      <c r="N832" s="26"/>
      <c r="O832" s="26"/>
      <c r="P832" s="26"/>
    </row>
    <row r="833">
      <c r="A833" s="26"/>
      <c r="B833" s="26"/>
      <c r="C833" s="26"/>
      <c r="D833" s="26"/>
      <c r="E833" s="26"/>
      <c r="F833" s="26"/>
      <c r="G833" s="26"/>
      <c r="H833" s="26"/>
      <c r="I833" s="26"/>
      <c r="J833" s="26"/>
      <c r="K833" s="27"/>
      <c r="L833" s="26"/>
      <c r="M833" s="26"/>
      <c r="N833" s="26"/>
      <c r="O833" s="26"/>
      <c r="P833" s="26"/>
    </row>
    <row r="834">
      <c r="A834" s="26"/>
      <c r="B834" s="26"/>
      <c r="C834" s="26"/>
      <c r="D834" s="26"/>
      <c r="E834" s="26"/>
      <c r="F834" s="26"/>
      <c r="G834" s="26"/>
      <c r="H834" s="26"/>
      <c r="I834" s="26"/>
      <c r="J834" s="26"/>
      <c r="K834" s="27"/>
      <c r="L834" s="26"/>
      <c r="M834" s="26"/>
      <c r="N834" s="26"/>
      <c r="O834" s="26"/>
      <c r="P834" s="26"/>
    </row>
    <row r="835">
      <c r="A835" s="26"/>
      <c r="B835" s="26"/>
      <c r="C835" s="26"/>
      <c r="D835" s="26"/>
      <c r="E835" s="26"/>
      <c r="F835" s="26"/>
      <c r="G835" s="26"/>
      <c r="H835" s="26"/>
      <c r="I835" s="26"/>
      <c r="J835" s="26"/>
      <c r="K835" s="27"/>
      <c r="L835" s="26"/>
      <c r="M835" s="26"/>
      <c r="N835" s="26"/>
      <c r="O835" s="26"/>
      <c r="P835" s="26"/>
    </row>
    <row r="836">
      <c r="A836" s="26"/>
      <c r="B836" s="26"/>
      <c r="C836" s="26"/>
      <c r="D836" s="26"/>
      <c r="E836" s="26"/>
      <c r="F836" s="26"/>
      <c r="G836" s="26"/>
      <c r="H836" s="26"/>
      <c r="I836" s="26"/>
      <c r="J836" s="26"/>
      <c r="K836" s="27"/>
      <c r="L836" s="26"/>
      <c r="M836" s="26"/>
      <c r="N836" s="26"/>
      <c r="O836" s="26"/>
      <c r="P836" s="26"/>
    </row>
    <row r="837">
      <c r="A837" s="26"/>
      <c r="B837" s="26"/>
      <c r="C837" s="26"/>
      <c r="D837" s="26"/>
      <c r="E837" s="26"/>
      <c r="F837" s="26"/>
      <c r="G837" s="26"/>
      <c r="H837" s="26"/>
      <c r="I837" s="26"/>
      <c r="J837" s="26"/>
      <c r="K837" s="27"/>
      <c r="L837" s="26"/>
      <c r="M837" s="26"/>
      <c r="N837" s="26"/>
      <c r="O837" s="26"/>
      <c r="P837" s="26"/>
    </row>
    <row r="838">
      <c r="A838" s="26"/>
      <c r="B838" s="26"/>
      <c r="C838" s="26"/>
      <c r="D838" s="26"/>
      <c r="E838" s="26"/>
      <c r="F838" s="26"/>
      <c r="G838" s="26"/>
      <c r="H838" s="26"/>
      <c r="I838" s="26"/>
      <c r="J838" s="26"/>
      <c r="K838" s="27"/>
      <c r="L838" s="26"/>
      <c r="M838" s="26"/>
      <c r="N838" s="26"/>
      <c r="O838" s="26"/>
      <c r="P838" s="26"/>
    </row>
    <row r="839">
      <c r="A839" s="26"/>
      <c r="B839" s="26"/>
      <c r="C839" s="26"/>
      <c r="D839" s="26"/>
      <c r="E839" s="26"/>
      <c r="F839" s="26"/>
      <c r="G839" s="26"/>
      <c r="H839" s="26"/>
      <c r="I839" s="26"/>
      <c r="J839" s="26"/>
      <c r="K839" s="27"/>
      <c r="L839" s="26"/>
      <c r="M839" s="26"/>
      <c r="N839" s="26"/>
      <c r="O839" s="26"/>
      <c r="P839" s="26"/>
    </row>
    <row r="840">
      <c r="A840" s="26"/>
      <c r="B840" s="26"/>
      <c r="C840" s="26"/>
      <c r="D840" s="26"/>
      <c r="E840" s="26"/>
      <c r="F840" s="26"/>
      <c r="G840" s="26"/>
      <c r="H840" s="26"/>
      <c r="I840" s="26"/>
      <c r="J840" s="26"/>
      <c r="K840" s="27"/>
      <c r="L840" s="26"/>
      <c r="M840" s="26"/>
      <c r="N840" s="26"/>
      <c r="O840" s="26"/>
      <c r="P840" s="26"/>
    </row>
    <row r="841">
      <c r="A841" s="26"/>
      <c r="B841" s="26"/>
      <c r="C841" s="26"/>
      <c r="D841" s="26"/>
      <c r="E841" s="26"/>
      <c r="F841" s="26"/>
      <c r="G841" s="26"/>
      <c r="H841" s="26"/>
      <c r="I841" s="26"/>
      <c r="J841" s="26"/>
      <c r="K841" s="27"/>
      <c r="L841" s="26"/>
      <c r="M841" s="26"/>
      <c r="N841" s="26"/>
      <c r="O841" s="26"/>
      <c r="P841" s="26"/>
    </row>
    <row r="842">
      <c r="A842" s="26"/>
      <c r="B842" s="26"/>
      <c r="C842" s="26"/>
      <c r="D842" s="26"/>
      <c r="E842" s="26"/>
      <c r="F842" s="26"/>
      <c r="G842" s="26"/>
      <c r="H842" s="26"/>
      <c r="I842" s="26"/>
      <c r="J842" s="26"/>
      <c r="K842" s="27"/>
      <c r="L842" s="26"/>
      <c r="M842" s="26"/>
      <c r="N842" s="26"/>
      <c r="O842" s="26"/>
      <c r="P842" s="26"/>
    </row>
    <row r="843">
      <c r="A843" s="26"/>
      <c r="B843" s="26"/>
      <c r="C843" s="26"/>
      <c r="D843" s="26"/>
      <c r="E843" s="26"/>
      <c r="F843" s="26"/>
      <c r="G843" s="26"/>
      <c r="H843" s="26"/>
      <c r="I843" s="26"/>
      <c r="J843" s="26"/>
      <c r="K843" s="27"/>
      <c r="L843" s="26"/>
      <c r="M843" s="26"/>
      <c r="N843" s="26"/>
      <c r="O843" s="26"/>
      <c r="P843" s="26"/>
    </row>
    <row r="844">
      <c r="A844" s="26"/>
      <c r="B844" s="26"/>
      <c r="C844" s="26"/>
      <c r="D844" s="26"/>
      <c r="E844" s="26"/>
      <c r="F844" s="26"/>
      <c r="G844" s="26"/>
      <c r="H844" s="26"/>
      <c r="I844" s="26"/>
      <c r="J844" s="26"/>
      <c r="K844" s="27"/>
      <c r="L844" s="26"/>
      <c r="M844" s="26"/>
      <c r="N844" s="26"/>
      <c r="O844" s="26"/>
      <c r="P844" s="26"/>
    </row>
    <row r="845">
      <c r="A845" s="26"/>
      <c r="B845" s="26"/>
      <c r="C845" s="26"/>
      <c r="D845" s="26"/>
      <c r="E845" s="26"/>
      <c r="F845" s="26"/>
      <c r="G845" s="26"/>
      <c r="H845" s="26"/>
      <c r="I845" s="26"/>
      <c r="J845" s="26"/>
      <c r="K845" s="27"/>
      <c r="L845" s="26"/>
      <c r="M845" s="26"/>
      <c r="N845" s="26"/>
      <c r="O845" s="26"/>
      <c r="P845" s="26"/>
    </row>
    <row r="846">
      <c r="A846" s="26"/>
      <c r="B846" s="26"/>
      <c r="C846" s="26"/>
      <c r="D846" s="26"/>
      <c r="E846" s="26"/>
      <c r="F846" s="26"/>
      <c r="G846" s="26"/>
      <c r="H846" s="26"/>
      <c r="I846" s="26"/>
      <c r="J846" s="26"/>
      <c r="K846" s="27"/>
      <c r="L846" s="26"/>
      <c r="M846" s="26"/>
      <c r="N846" s="26"/>
      <c r="O846" s="26"/>
      <c r="P846" s="26"/>
    </row>
    <row r="847">
      <c r="A847" s="26"/>
      <c r="B847" s="26"/>
      <c r="C847" s="26"/>
      <c r="D847" s="26"/>
      <c r="E847" s="26"/>
      <c r="F847" s="26"/>
      <c r="G847" s="26"/>
      <c r="H847" s="26"/>
      <c r="I847" s="26"/>
      <c r="J847" s="26"/>
      <c r="K847" s="27"/>
      <c r="L847" s="26"/>
      <c r="M847" s="26"/>
      <c r="N847" s="26"/>
      <c r="O847" s="26"/>
      <c r="P847" s="26"/>
    </row>
    <row r="848">
      <c r="A848" s="26"/>
      <c r="B848" s="26"/>
      <c r="C848" s="26"/>
      <c r="D848" s="26"/>
      <c r="E848" s="26"/>
      <c r="F848" s="26"/>
      <c r="G848" s="26"/>
      <c r="H848" s="26"/>
      <c r="I848" s="26"/>
      <c r="J848" s="26"/>
      <c r="K848" s="27"/>
      <c r="L848" s="26"/>
      <c r="M848" s="26"/>
      <c r="N848" s="26"/>
      <c r="O848" s="26"/>
      <c r="P848" s="26"/>
    </row>
    <row r="849">
      <c r="A849" s="26"/>
      <c r="B849" s="26"/>
      <c r="C849" s="26"/>
      <c r="D849" s="26"/>
      <c r="E849" s="26"/>
      <c r="F849" s="26"/>
      <c r="G849" s="26"/>
      <c r="H849" s="26"/>
      <c r="I849" s="26"/>
      <c r="J849" s="26"/>
      <c r="K849" s="27"/>
      <c r="L849" s="26"/>
      <c r="M849" s="26"/>
      <c r="N849" s="26"/>
      <c r="O849" s="26"/>
      <c r="P849" s="26"/>
    </row>
    <row r="850">
      <c r="A850" s="26"/>
      <c r="B850" s="26"/>
      <c r="C850" s="26"/>
      <c r="D850" s="26"/>
      <c r="E850" s="26"/>
      <c r="F850" s="26"/>
      <c r="G850" s="26"/>
      <c r="H850" s="26"/>
      <c r="I850" s="26"/>
      <c r="J850" s="26"/>
      <c r="K850" s="27"/>
      <c r="L850" s="26"/>
      <c r="M850" s="26"/>
      <c r="N850" s="26"/>
      <c r="O850" s="26"/>
      <c r="P850" s="26"/>
    </row>
    <row r="851">
      <c r="A851" s="26"/>
      <c r="B851" s="26"/>
      <c r="C851" s="26"/>
      <c r="D851" s="26"/>
      <c r="E851" s="26"/>
      <c r="F851" s="26"/>
      <c r="G851" s="26"/>
      <c r="H851" s="26"/>
      <c r="I851" s="26"/>
      <c r="J851" s="26"/>
      <c r="K851" s="27"/>
      <c r="L851" s="26"/>
      <c r="M851" s="26"/>
      <c r="N851" s="26"/>
      <c r="O851" s="26"/>
      <c r="P851" s="26"/>
    </row>
    <row r="852">
      <c r="A852" s="26"/>
      <c r="B852" s="26"/>
      <c r="C852" s="26"/>
      <c r="D852" s="26"/>
      <c r="E852" s="26"/>
      <c r="F852" s="26"/>
      <c r="G852" s="26"/>
      <c r="H852" s="26"/>
      <c r="I852" s="26"/>
      <c r="J852" s="26"/>
      <c r="K852" s="27"/>
      <c r="L852" s="26"/>
      <c r="M852" s="26"/>
      <c r="N852" s="26"/>
      <c r="O852" s="26"/>
      <c r="P852" s="26"/>
    </row>
    <row r="853">
      <c r="A853" s="26"/>
      <c r="B853" s="26"/>
      <c r="C853" s="26"/>
      <c r="D853" s="26"/>
      <c r="E853" s="26"/>
      <c r="F853" s="26"/>
      <c r="G853" s="26"/>
      <c r="H853" s="26"/>
      <c r="I853" s="26"/>
      <c r="J853" s="26"/>
      <c r="K853" s="27"/>
      <c r="L853" s="26"/>
      <c r="M853" s="26"/>
      <c r="N853" s="26"/>
      <c r="O853" s="26"/>
      <c r="P853" s="26"/>
    </row>
    <row r="854">
      <c r="A854" s="26"/>
      <c r="B854" s="26"/>
      <c r="C854" s="26"/>
      <c r="D854" s="26"/>
      <c r="E854" s="26"/>
      <c r="F854" s="26"/>
      <c r="G854" s="26"/>
      <c r="H854" s="26"/>
      <c r="I854" s="26"/>
      <c r="J854" s="26"/>
      <c r="K854" s="27"/>
      <c r="L854" s="26"/>
      <c r="M854" s="26"/>
      <c r="N854" s="26"/>
      <c r="O854" s="26"/>
      <c r="P854" s="26"/>
    </row>
    <row r="855">
      <c r="A855" s="26"/>
      <c r="B855" s="26"/>
      <c r="C855" s="26"/>
      <c r="D855" s="26"/>
      <c r="E855" s="26"/>
      <c r="F855" s="26"/>
      <c r="G855" s="26"/>
      <c r="H855" s="26"/>
      <c r="I855" s="26"/>
      <c r="J855" s="26"/>
      <c r="K855" s="27"/>
      <c r="L855" s="26"/>
      <c r="M855" s="26"/>
      <c r="N855" s="26"/>
      <c r="O855" s="26"/>
      <c r="P855" s="26"/>
    </row>
    <row r="856">
      <c r="A856" s="26"/>
      <c r="B856" s="26"/>
      <c r="C856" s="26"/>
      <c r="D856" s="26"/>
      <c r="E856" s="26"/>
      <c r="F856" s="26"/>
      <c r="G856" s="26"/>
      <c r="H856" s="26"/>
      <c r="I856" s="26"/>
      <c r="J856" s="26"/>
      <c r="K856" s="27"/>
      <c r="L856" s="26"/>
      <c r="M856" s="26"/>
      <c r="N856" s="26"/>
      <c r="O856" s="26"/>
      <c r="P856" s="26"/>
    </row>
    <row r="857">
      <c r="A857" s="26"/>
      <c r="B857" s="26"/>
      <c r="C857" s="26"/>
      <c r="D857" s="26"/>
      <c r="E857" s="26"/>
      <c r="F857" s="26"/>
      <c r="G857" s="26"/>
      <c r="H857" s="26"/>
      <c r="I857" s="26"/>
      <c r="J857" s="26"/>
      <c r="K857" s="27"/>
      <c r="L857" s="26"/>
      <c r="M857" s="26"/>
      <c r="N857" s="26"/>
      <c r="O857" s="26"/>
      <c r="P857" s="26"/>
    </row>
    <row r="858">
      <c r="A858" s="26"/>
      <c r="B858" s="26"/>
      <c r="C858" s="26"/>
      <c r="D858" s="26"/>
      <c r="E858" s="26"/>
      <c r="F858" s="26"/>
      <c r="G858" s="26"/>
      <c r="H858" s="26"/>
      <c r="I858" s="26"/>
      <c r="J858" s="26"/>
      <c r="K858" s="27"/>
      <c r="L858" s="26"/>
      <c r="M858" s="26"/>
      <c r="N858" s="26"/>
      <c r="O858" s="26"/>
      <c r="P858" s="26"/>
    </row>
    <row r="859">
      <c r="A859" s="26"/>
      <c r="B859" s="26"/>
      <c r="C859" s="26"/>
      <c r="D859" s="26"/>
      <c r="E859" s="26"/>
      <c r="F859" s="26"/>
      <c r="G859" s="26"/>
      <c r="H859" s="26"/>
      <c r="I859" s="26"/>
      <c r="J859" s="26"/>
      <c r="K859" s="27"/>
      <c r="L859" s="26"/>
      <c r="M859" s="26"/>
      <c r="N859" s="26"/>
      <c r="O859" s="26"/>
      <c r="P859" s="26"/>
    </row>
    <row r="860">
      <c r="A860" s="26"/>
      <c r="B860" s="26"/>
      <c r="C860" s="26"/>
      <c r="D860" s="26"/>
      <c r="E860" s="26"/>
      <c r="F860" s="26"/>
      <c r="G860" s="26"/>
      <c r="H860" s="26"/>
      <c r="I860" s="26"/>
      <c r="J860" s="26"/>
      <c r="K860" s="27"/>
      <c r="L860" s="26"/>
      <c r="M860" s="26"/>
      <c r="N860" s="26"/>
      <c r="O860" s="26"/>
      <c r="P860" s="26"/>
    </row>
    <row r="861">
      <c r="A861" s="26"/>
      <c r="B861" s="26"/>
      <c r="C861" s="26"/>
      <c r="D861" s="26"/>
      <c r="E861" s="26"/>
      <c r="F861" s="26"/>
      <c r="G861" s="26"/>
      <c r="H861" s="26"/>
      <c r="I861" s="26"/>
      <c r="J861" s="26"/>
      <c r="K861" s="27"/>
      <c r="L861" s="26"/>
      <c r="M861" s="26"/>
      <c r="N861" s="26"/>
      <c r="O861" s="26"/>
      <c r="P861" s="26"/>
    </row>
    <row r="862">
      <c r="A862" s="26"/>
      <c r="B862" s="26"/>
      <c r="C862" s="26"/>
      <c r="D862" s="26"/>
      <c r="E862" s="26"/>
      <c r="F862" s="26"/>
      <c r="G862" s="26"/>
      <c r="H862" s="26"/>
      <c r="I862" s="26"/>
      <c r="J862" s="26"/>
      <c r="K862" s="27"/>
      <c r="L862" s="26"/>
      <c r="M862" s="26"/>
      <c r="N862" s="26"/>
      <c r="O862" s="26"/>
      <c r="P862" s="26"/>
    </row>
    <row r="863">
      <c r="A863" s="26"/>
      <c r="B863" s="26"/>
      <c r="C863" s="26"/>
      <c r="D863" s="26"/>
      <c r="E863" s="26"/>
      <c r="F863" s="26"/>
      <c r="G863" s="26"/>
      <c r="H863" s="26"/>
      <c r="I863" s="26"/>
      <c r="J863" s="26"/>
      <c r="K863" s="27"/>
      <c r="L863" s="26"/>
      <c r="M863" s="26"/>
      <c r="N863" s="26"/>
      <c r="O863" s="26"/>
      <c r="P863" s="26"/>
    </row>
    <row r="864">
      <c r="A864" s="26"/>
      <c r="B864" s="26"/>
      <c r="C864" s="26"/>
      <c r="D864" s="26"/>
      <c r="E864" s="26"/>
      <c r="F864" s="26"/>
      <c r="G864" s="26"/>
      <c r="H864" s="26"/>
      <c r="I864" s="26"/>
      <c r="J864" s="26"/>
      <c r="K864" s="27"/>
      <c r="L864" s="26"/>
      <c r="M864" s="26"/>
      <c r="N864" s="26"/>
      <c r="O864" s="26"/>
      <c r="P864" s="26"/>
    </row>
    <row r="865">
      <c r="A865" s="26"/>
      <c r="B865" s="26"/>
      <c r="C865" s="26"/>
      <c r="D865" s="26"/>
      <c r="E865" s="26"/>
      <c r="F865" s="26"/>
      <c r="G865" s="26"/>
      <c r="H865" s="26"/>
      <c r="I865" s="26"/>
      <c r="J865" s="26"/>
      <c r="K865" s="27"/>
      <c r="L865" s="26"/>
      <c r="M865" s="26"/>
      <c r="N865" s="26"/>
      <c r="O865" s="26"/>
      <c r="P865" s="26"/>
    </row>
    <row r="866">
      <c r="A866" s="26"/>
      <c r="B866" s="26"/>
      <c r="C866" s="26"/>
      <c r="D866" s="26"/>
      <c r="E866" s="26"/>
      <c r="F866" s="26"/>
      <c r="G866" s="26"/>
      <c r="H866" s="26"/>
      <c r="I866" s="26"/>
      <c r="J866" s="26"/>
      <c r="K866" s="27"/>
      <c r="L866" s="26"/>
      <c r="M866" s="26"/>
      <c r="N866" s="26"/>
      <c r="O866" s="26"/>
      <c r="P866" s="26"/>
    </row>
    <row r="867">
      <c r="A867" s="26"/>
      <c r="B867" s="26"/>
      <c r="C867" s="26"/>
      <c r="D867" s="26"/>
      <c r="E867" s="26"/>
      <c r="F867" s="26"/>
      <c r="G867" s="26"/>
      <c r="H867" s="26"/>
      <c r="I867" s="26"/>
      <c r="J867" s="26"/>
      <c r="K867" s="27"/>
      <c r="L867" s="26"/>
      <c r="M867" s="26"/>
      <c r="N867" s="26"/>
      <c r="O867" s="26"/>
      <c r="P867" s="26"/>
    </row>
    <row r="868">
      <c r="A868" s="26"/>
      <c r="B868" s="26"/>
      <c r="C868" s="26"/>
      <c r="D868" s="26"/>
      <c r="E868" s="26"/>
      <c r="F868" s="26"/>
      <c r="G868" s="26"/>
      <c r="H868" s="26"/>
      <c r="I868" s="26"/>
      <c r="J868" s="26"/>
      <c r="K868" s="27"/>
      <c r="L868" s="26"/>
      <c r="M868" s="26"/>
      <c r="N868" s="26"/>
      <c r="O868" s="26"/>
      <c r="P868" s="26"/>
    </row>
    <row r="869">
      <c r="A869" s="26"/>
      <c r="B869" s="26"/>
      <c r="C869" s="26"/>
      <c r="D869" s="26"/>
      <c r="E869" s="26"/>
      <c r="F869" s="26"/>
      <c r="G869" s="26"/>
      <c r="H869" s="26"/>
      <c r="I869" s="26"/>
      <c r="J869" s="26"/>
      <c r="K869" s="27"/>
      <c r="L869" s="26"/>
      <c r="M869" s="26"/>
      <c r="N869" s="26"/>
      <c r="O869" s="26"/>
      <c r="P869" s="26"/>
    </row>
    <row r="870">
      <c r="A870" s="26"/>
      <c r="B870" s="26"/>
      <c r="C870" s="26"/>
      <c r="D870" s="26"/>
      <c r="E870" s="26"/>
      <c r="F870" s="26"/>
      <c r="G870" s="26"/>
      <c r="H870" s="26"/>
      <c r="I870" s="26"/>
      <c r="J870" s="26"/>
      <c r="K870" s="27"/>
      <c r="L870" s="26"/>
      <c r="M870" s="26"/>
      <c r="N870" s="26"/>
      <c r="O870" s="26"/>
      <c r="P870" s="26"/>
    </row>
    <row r="871">
      <c r="A871" s="26"/>
      <c r="B871" s="26"/>
      <c r="C871" s="26"/>
      <c r="D871" s="26"/>
      <c r="E871" s="26"/>
      <c r="F871" s="26"/>
      <c r="G871" s="26"/>
      <c r="H871" s="26"/>
      <c r="I871" s="26"/>
      <c r="J871" s="26"/>
      <c r="K871" s="27"/>
      <c r="L871" s="26"/>
      <c r="M871" s="26"/>
      <c r="N871" s="26"/>
      <c r="O871" s="26"/>
      <c r="P871" s="26"/>
    </row>
    <row r="872">
      <c r="A872" s="26"/>
      <c r="B872" s="26"/>
      <c r="C872" s="26"/>
      <c r="D872" s="26"/>
      <c r="E872" s="26"/>
      <c r="F872" s="26"/>
      <c r="G872" s="26"/>
      <c r="H872" s="26"/>
      <c r="I872" s="26"/>
      <c r="J872" s="26"/>
      <c r="K872" s="27"/>
      <c r="L872" s="26"/>
      <c r="M872" s="26"/>
      <c r="N872" s="26"/>
      <c r="O872" s="26"/>
      <c r="P872" s="26"/>
    </row>
    <row r="873">
      <c r="A873" s="26"/>
      <c r="B873" s="26"/>
      <c r="C873" s="26"/>
      <c r="D873" s="26"/>
      <c r="E873" s="26"/>
      <c r="F873" s="26"/>
      <c r="G873" s="26"/>
      <c r="H873" s="26"/>
      <c r="I873" s="26"/>
      <c r="J873" s="26"/>
      <c r="K873" s="27"/>
      <c r="L873" s="26"/>
      <c r="M873" s="26"/>
      <c r="N873" s="26"/>
      <c r="O873" s="26"/>
      <c r="P873" s="26"/>
    </row>
    <row r="874">
      <c r="A874" s="26"/>
      <c r="B874" s="26"/>
      <c r="C874" s="26"/>
      <c r="D874" s="26"/>
      <c r="E874" s="26"/>
      <c r="F874" s="26"/>
      <c r="G874" s="26"/>
      <c r="H874" s="26"/>
      <c r="I874" s="26"/>
      <c r="J874" s="26"/>
      <c r="K874" s="27"/>
      <c r="L874" s="26"/>
      <c r="M874" s="26"/>
      <c r="N874" s="26"/>
      <c r="O874" s="26"/>
      <c r="P874" s="26"/>
    </row>
    <row r="875">
      <c r="A875" s="26"/>
      <c r="B875" s="26"/>
      <c r="C875" s="26"/>
      <c r="D875" s="26"/>
      <c r="E875" s="26"/>
      <c r="F875" s="26"/>
      <c r="G875" s="26"/>
      <c r="H875" s="26"/>
      <c r="I875" s="26"/>
      <c r="J875" s="26"/>
      <c r="K875" s="27"/>
      <c r="L875" s="26"/>
      <c r="M875" s="26"/>
      <c r="N875" s="26"/>
      <c r="O875" s="26"/>
      <c r="P875" s="26"/>
    </row>
    <row r="876">
      <c r="A876" s="26"/>
      <c r="B876" s="26"/>
      <c r="C876" s="26"/>
      <c r="D876" s="26"/>
      <c r="E876" s="26"/>
      <c r="F876" s="26"/>
      <c r="G876" s="26"/>
      <c r="H876" s="26"/>
      <c r="I876" s="26"/>
      <c r="J876" s="26"/>
      <c r="K876" s="27"/>
      <c r="L876" s="26"/>
      <c r="M876" s="26"/>
      <c r="N876" s="26"/>
      <c r="O876" s="26"/>
      <c r="P876" s="26"/>
    </row>
    <row r="877">
      <c r="A877" s="26"/>
      <c r="B877" s="26"/>
      <c r="C877" s="26"/>
      <c r="D877" s="26"/>
      <c r="E877" s="26"/>
      <c r="F877" s="26"/>
      <c r="G877" s="26"/>
      <c r="H877" s="26"/>
      <c r="I877" s="26"/>
      <c r="J877" s="26"/>
      <c r="K877" s="27"/>
      <c r="L877" s="26"/>
      <c r="M877" s="26"/>
      <c r="N877" s="26"/>
      <c r="O877" s="26"/>
      <c r="P877" s="26"/>
    </row>
    <row r="878">
      <c r="A878" s="26"/>
      <c r="B878" s="26"/>
      <c r="C878" s="26"/>
      <c r="D878" s="26"/>
      <c r="E878" s="26"/>
      <c r="F878" s="26"/>
      <c r="G878" s="26"/>
      <c r="H878" s="26"/>
      <c r="I878" s="26"/>
      <c r="J878" s="26"/>
      <c r="K878" s="27"/>
      <c r="L878" s="26"/>
      <c r="M878" s="26"/>
      <c r="N878" s="26"/>
      <c r="O878" s="26"/>
      <c r="P878" s="26"/>
    </row>
    <row r="879">
      <c r="A879" s="26"/>
      <c r="B879" s="26"/>
      <c r="C879" s="26"/>
      <c r="D879" s="26"/>
      <c r="E879" s="26"/>
      <c r="F879" s="26"/>
      <c r="G879" s="26"/>
      <c r="H879" s="26"/>
      <c r="I879" s="26"/>
      <c r="J879" s="26"/>
      <c r="K879" s="27"/>
      <c r="L879" s="26"/>
      <c r="M879" s="26"/>
      <c r="N879" s="26"/>
      <c r="O879" s="26"/>
      <c r="P879" s="26"/>
    </row>
    <row r="880">
      <c r="A880" s="26"/>
      <c r="B880" s="26"/>
      <c r="C880" s="26"/>
      <c r="D880" s="26"/>
      <c r="E880" s="26"/>
      <c r="F880" s="26"/>
      <c r="G880" s="26"/>
      <c r="H880" s="26"/>
      <c r="I880" s="26"/>
      <c r="J880" s="26"/>
      <c r="K880" s="27"/>
      <c r="L880" s="26"/>
      <c r="M880" s="26"/>
      <c r="N880" s="26"/>
      <c r="O880" s="26"/>
      <c r="P880" s="26"/>
    </row>
    <row r="881">
      <c r="A881" s="26"/>
      <c r="B881" s="26"/>
      <c r="C881" s="26"/>
      <c r="D881" s="26"/>
      <c r="E881" s="26"/>
      <c r="F881" s="26"/>
      <c r="G881" s="26"/>
      <c r="H881" s="26"/>
      <c r="I881" s="26"/>
      <c r="J881" s="26"/>
      <c r="K881" s="27"/>
      <c r="L881" s="26"/>
      <c r="M881" s="26"/>
      <c r="N881" s="26"/>
      <c r="O881" s="26"/>
      <c r="P881" s="26"/>
    </row>
    <row r="882">
      <c r="A882" s="26"/>
      <c r="B882" s="26"/>
      <c r="C882" s="26"/>
      <c r="D882" s="26"/>
      <c r="E882" s="26"/>
      <c r="F882" s="26"/>
      <c r="G882" s="26"/>
      <c r="H882" s="26"/>
      <c r="I882" s="26"/>
      <c r="J882" s="26"/>
      <c r="K882" s="27"/>
      <c r="L882" s="26"/>
      <c r="M882" s="26"/>
      <c r="N882" s="26"/>
      <c r="O882" s="26"/>
      <c r="P882" s="26"/>
    </row>
    <row r="883">
      <c r="A883" s="26"/>
      <c r="B883" s="26"/>
      <c r="C883" s="26"/>
      <c r="D883" s="26"/>
      <c r="E883" s="26"/>
      <c r="F883" s="26"/>
      <c r="G883" s="26"/>
      <c r="H883" s="26"/>
      <c r="I883" s="26"/>
      <c r="J883" s="26"/>
      <c r="K883" s="27"/>
      <c r="L883" s="26"/>
      <c r="M883" s="26"/>
      <c r="N883" s="26"/>
      <c r="O883" s="26"/>
      <c r="P883" s="26"/>
    </row>
    <row r="884">
      <c r="A884" s="26"/>
      <c r="B884" s="26"/>
      <c r="C884" s="26"/>
      <c r="D884" s="26"/>
      <c r="E884" s="26"/>
      <c r="F884" s="26"/>
      <c r="G884" s="26"/>
      <c r="H884" s="26"/>
      <c r="I884" s="26"/>
      <c r="J884" s="26"/>
      <c r="K884" s="27"/>
      <c r="L884" s="26"/>
      <c r="M884" s="26"/>
      <c r="N884" s="26"/>
      <c r="O884" s="26"/>
      <c r="P884" s="26"/>
    </row>
    <row r="885">
      <c r="A885" s="26"/>
      <c r="B885" s="26"/>
      <c r="C885" s="26"/>
      <c r="D885" s="26"/>
      <c r="E885" s="26"/>
      <c r="F885" s="26"/>
      <c r="G885" s="26"/>
      <c r="H885" s="26"/>
      <c r="I885" s="26"/>
      <c r="J885" s="26"/>
      <c r="K885" s="27"/>
      <c r="L885" s="26"/>
      <c r="M885" s="26"/>
      <c r="N885" s="26"/>
      <c r="O885" s="26"/>
      <c r="P885" s="26"/>
    </row>
    <row r="886">
      <c r="A886" s="26"/>
      <c r="B886" s="26"/>
      <c r="C886" s="26"/>
      <c r="D886" s="26"/>
      <c r="E886" s="26"/>
      <c r="F886" s="26"/>
      <c r="G886" s="26"/>
      <c r="H886" s="26"/>
      <c r="I886" s="26"/>
      <c r="J886" s="26"/>
      <c r="K886" s="27"/>
      <c r="L886" s="26"/>
      <c r="M886" s="26"/>
      <c r="N886" s="26"/>
      <c r="O886" s="26"/>
      <c r="P886" s="26"/>
    </row>
    <row r="887">
      <c r="A887" s="26"/>
      <c r="B887" s="26"/>
      <c r="C887" s="26"/>
      <c r="D887" s="26"/>
      <c r="E887" s="26"/>
      <c r="F887" s="26"/>
      <c r="G887" s="26"/>
      <c r="H887" s="26"/>
      <c r="I887" s="26"/>
      <c r="J887" s="26"/>
      <c r="K887" s="27"/>
      <c r="L887" s="26"/>
      <c r="M887" s="26"/>
      <c r="N887" s="26"/>
      <c r="O887" s="26"/>
      <c r="P887" s="26"/>
    </row>
    <row r="888">
      <c r="A888" s="26"/>
      <c r="B888" s="26"/>
      <c r="C888" s="26"/>
      <c r="D888" s="26"/>
      <c r="E888" s="26"/>
      <c r="F888" s="26"/>
      <c r="G888" s="26"/>
      <c r="H888" s="26"/>
      <c r="I888" s="26"/>
      <c r="J888" s="26"/>
      <c r="K888" s="27"/>
      <c r="L888" s="26"/>
      <c r="M888" s="26"/>
      <c r="N888" s="26"/>
      <c r="O888" s="26"/>
      <c r="P888" s="26"/>
    </row>
    <row r="889">
      <c r="A889" s="26"/>
      <c r="B889" s="26"/>
      <c r="C889" s="26"/>
      <c r="D889" s="26"/>
      <c r="E889" s="26"/>
      <c r="F889" s="26"/>
      <c r="G889" s="26"/>
      <c r="H889" s="26"/>
      <c r="I889" s="26"/>
      <c r="J889" s="26"/>
      <c r="K889" s="27"/>
      <c r="L889" s="26"/>
      <c r="M889" s="26"/>
      <c r="N889" s="26"/>
      <c r="O889" s="26"/>
      <c r="P889" s="26"/>
    </row>
    <row r="890">
      <c r="A890" s="26"/>
      <c r="B890" s="26"/>
      <c r="C890" s="26"/>
      <c r="D890" s="26"/>
      <c r="E890" s="26"/>
      <c r="F890" s="26"/>
      <c r="G890" s="26"/>
      <c r="H890" s="26"/>
      <c r="I890" s="26"/>
      <c r="J890" s="26"/>
      <c r="K890" s="27"/>
      <c r="L890" s="26"/>
      <c r="M890" s="26"/>
      <c r="N890" s="26"/>
      <c r="O890" s="26"/>
      <c r="P890" s="26"/>
    </row>
    <row r="891">
      <c r="A891" s="26"/>
      <c r="B891" s="26"/>
      <c r="C891" s="26"/>
      <c r="D891" s="26"/>
      <c r="E891" s="26"/>
      <c r="F891" s="26"/>
      <c r="G891" s="26"/>
      <c r="H891" s="26"/>
      <c r="I891" s="26"/>
      <c r="J891" s="26"/>
      <c r="K891" s="27"/>
      <c r="L891" s="26"/>
      <c r="M891" s="26"/>
      <c r="N891" s="26"/>
      <c r="O891" s="26"/>
      <c r="P891" s="26"/>
    </row>
    <row r="892">
      <c r="A892" s="26"/>
      <c r="B892" s="26"/>
      <c r="C892" s="26"/>
      <c r="D892" s="26"/>
      <c r="E892" s="26"/>
      <c r="F892" s="26"/>
      <c r="G892" s="26"/>
      <c r="H892" s="26"/>
      <c r="I892" s="26"/>
      <c r="J892" s="26"/>
      <c r="K892" s="27"/>
      <c r="L892" s="26"/>
      <c r="M892" s="26"/>
      <c r="N892" s="26"/>
      <c r="O892" s="26"/>
      <c r="P892" s="26"/>
    </row>
    <row r="893">
      <c r="A893" s="26"/>
      <c r="B893" s="26"/>
      <c r="C893" s="26"/>
      <c r="D893" s="26"/>
      <c r="E893" s="26"/>
      <c r="F893" s="26"/>
      <c r="G893" s="26"/>
      <c r="H893" s="26"/>
      <c r="I893" s="26"/>
      <c r="J893" s="26"/>
      <c r="K893" s="27"/>
      <c r="L893" s="26"/>
      <c r="M893" s="26"/>
      <c r="N893" s="26"/>
      <c r="O893" s="26"/>
      <c r="P893" s="26"/>
    </row>
    <row r="894">
      <c r="A894" s="26"/>
      <c r="B894" s="26"/>
      <c r="C894" s="26"/>
      <c r="D894" s="26"/>
      <c r="E894" s="26"/>
      <c r="F894" s="26"/>
      <c r="G894" s="26"/>
      <c r="H894" s="26"/>
      <c r="I894" s="26"/>
      <c r="J894" s="26"/>
      <c r="K894" s="27"/>
      <c r="L894" s="26"/>
      <c r="M894" s="26"/>
      <c r="N894" s="26"/>
      <c r="O894" s="26"/>
      <c r="P894" s="26"/>
    </row>
    <row r="895">
      <c r="A895" s="26"/>
      <c r="B895" s="26"/>
      <c r="C895" s="26"/>
      <c r="D895" s="26"/>
      <c r="E895" s="26"/>
      <c r="F895" s="26"/>
      <c r="G895" s="26"/>
      <c r="H895" s="26"/>
      <c r="I895" s="26"/>
      <c r="J895" s="26"/>
      <c r="K895" s="27"/>
      <c r="L895" s="26"/>
      <c r="M895" s="26"/>
      <c r="N895" s="26"/>
      <c r="O895" s="26"/>
      <c r="P895" s="26"/>
    </row>
    <row r="896">
      <c r="A896" s="26"/>
      <c r="B896" s="26"/>
      <c r="C896" s="26"/>
      <c r="D896" s="26"/>
      <c r="E896" s="26"/>
      <c r="F896" s="26"/>
      <c r="G896" s="26"/>
      <c r="H896" s="26"/>
      <c r="I896" s="26"/>
      <c r="J896" s="26"/>
      <c r="K896" s="27"/>
      <c r="L896" s="26"/>
      <c r="M896" s="26"/>
      <c r="N896" s="26"/>
      <c r="O896" s="26"/>
      <c r="P896" s="26"/>
    </row>
    <row r="897">
      <c r="A897" s="26"/>
      <c r="B897" s="26"/>
      <c r="C897" s="26"/>
      <c r="D897" s="26"/>
      <c r="E897" s="26"/>
      <c r="F897" s="26"/>
      <c r="G897" s="26"/>
      <c r="H897" s="26"/>
      <c r="I897" s="26"/>
      <c r="J897" s="26"/>
      <c r="K897" s="27"/>
      <c r="L897" s="26"/>
      <c r="M897" s="26"/>
      <c r="N897" s="26"/>
      <c r="O897" s="26"/>
      <c r="P897" s="26"/>
    </row>
    <row r="898">
      <c r="A898" s="26"/>
      <c r="B898" s="26"/>
      <c r="C898" s="26"/>
      <c r="D898" s="26"/>
      <c r="E898" s="26"/>
      <c r="F898" s="26"/>
      <c r="G898" s="26"/>
      <c r="H898" s="26"/>
      <c r="I898" s="26"/>
      <c r="J898" s="26"/>
      <c r="K898" s="27"/>
      <c r="L898" s="26"/>
      <c r="M898" s="26"/>
      <c r="N898" s="26"/>
      <c r="O898" s="26"/>
      <c r="P898" s="26"/>
    </row>
    <row r="899">
      <c r="A899" s="26"/>
      <c r="B899" s="26"/>
      <c r="C899" s="26"/>
      <c r="D899" s="26"/>
      <c r="E899" s="26"/>
      <c r="F899" s="26"/>
      <c r="G899" s="26"/>
      <c r="H899" s="26"/>
      <c r="I899" s="26"/>
      <c r="J899" s="26"/>
      <c r="K899" s="27"/>
      <c r="L899" s="26"/>
      <c r="M899" s="26"/>
      <c r="N899" s="26"/>
      <c r="O899" s="26"/>
      <c r="P899" s="26"/>
    </row>
    <row r="900">
      <c r="A900" s="26"/>
      <c r="B900" s="26"/>
      <c r="C900" s="26"/>
      <c r="D900" s="26"/>
      <c r="E900" s="26"/>
      <c r="F900" s="26"/>
      <c r="G900" s="26"/>
      <c r="H900" s="26"/>
      <c r="I900" s="26"/>
      <c r="J900" s="26"/>
      <c r="K900" s="27"/>
      <c r="L900" s="26"/>
      <c r="M900" s="26"/>
      <c r="N900" s="26"/>
      <c r="O900" s="26"/>
      <c r="P900" s="26"/>
    </row>
    <row r="901">
      <c r="A901" s="26"/>
      <c r="B901" s="26"/>
      <c r="C901" s="26"/>
      <c r="D901" s="26"/>
      <c r="E901" s="26"/>
      <c r="F901" s="26"/>
      <c r="G901" s="26"/>
      <c r="H901" s="26"/>
      <c r="I901" s="26"/>
      <c r="J901" s="26"/>
      <c r="K901" s="27"/>
      <c r="L901" s="26"/>
      <c r="M901" s="26"/>
      <c r="N901" s="26"/>
      <c r="O901" s="26"/>
      <c r="P901" s="26"/>
    </row>
    <row r="902">
      <c r="A902" s="26"/>
      <c r="B902" s="26"/>
      <c r="C902" s="26"/>
      <c r="D902" s="26"/>
      <c r="E902" s="26"/>
      <c r="F902" s="26"/>
      <c r="G902" s="26"/>
      <c r="H902" s="26"/>
      <c r="I902" s="26"/>
      <c r="J902" s="26"/>
      <c r="K902" s="27"/>
      <c r="L902" s="26"/>
      <c r="M902" s="26"/>
      <c r="N902" s="26"/>
      <c r="O902" s="26"/>
      <c r="P902" s="26"/>
    </row>
    <row r="903">
      <c r="A903" s="26"/>
      <c r="B903" s="26"/>
      <c r="C903" s="26"/>
      <c r="D903" s="26"/>
      <c r="E903" s="26"/>
      <c r="F903" s="26"/>
      <c r="G903" s="26"/>
      <c r="H903" s="26"/>
      <c r="I903" s="26"/>
      <c r="J903" s="26"/>
      <c r="K903" s="27"/>
      <c r="L903" s="26"/>
      <c r="M903" s="26"/>
      <c r="N903" s="26"/>
      <c r="O903" s="26"/>
      <c r="P903" s="26"/>
    </row>
    <row r="904">
      <c r="A904" s="26"/>
      <c r="B904" s="26"/>
      <c r="C904" s="26"/>
      <c r="D904" s="26"/>
      <c r="E904" s="26"/>
      <c r="F904" s="26"/>
      <c r="G904" s="26"/>
      <c r="H904" s="26"/>
      <c r="I904" s="26"/>
      <c r="J904" s="26"/>
      <c r="K904" s="27"/>
      <c r="L904" s="26"/>
      <c r="M904" s="26"/>
      <c r="N904" s="26"/>
      <c r="O904" s="26"/>
      <c r="P904" s="26"/>
    </row>
    <row r="905">
      <c r="A905" s="26"/>
      <c r="B905" s="26"/>
      <c r="C905" s="26"/>
      <c r="D905" s="26"/>
      <c r="E905" s="26"/>
      <c r="F905" s="26"/>
      <c r="G905" s="26"/>
      <c r="H905" s="26"/>
      <c r="I905" s="26"/>
      <c r="J905" s="26"/>
      <c r="K905" s="27"/>
      <c r="L905" s="26"/>
      <c r="M905" s="26"/>
      <c r="N905" s="26"/>
      <c r="O905" s="26"/>
      <c r="P905" s="26"/>
    </row>
    <row r="906">
      <c r="A906" s="26"/>
      <c r="B906" s="26"/>
      <c r="C906" s="26"/>
      <c r="D906" s="26"/>
      <c r="E906" s="26"/>
      <c r="F906" s="26"/>
      <c r="G906" s="26"/>
      <c r="H906" s="26"/>
      <c r="I906" s="26"/>
      <c r="J906" s="26"/>
      <c r="K906" s="27"/>
      <c r="L906" s="26"/>
      <c r="M906" s="26"/>
      <c r="N906" s="26"/>
      <c r="O906" s="26"/>
      <c r="P906" s="26"/>
    </row>
    <row r="907">
      <c r="A907" s="26"/>
      <c r="B907" s="26"/>
      <c r="C907" s="26"/>
      <c r="D907" s="26"/>
      <c r="E907" s="26"/>
      <c r="F907" s="26"/>
      <c r="G907" s="26"/>
      <c r="H907" s="26"/>
      <c r="I907" s="26"/>
      <c r="J907" s="26"/>
      <c r="K907" s="27"/>
      <c r="L907" s="26"/>
      <c r="M907" s="26"/>
      <c r="N907" s="26"/>
      <c r="O907" s="26"/>
      <c r="P907" s="26"/>
    </row>
    <row r="908">
      <c r="A908" s="26"/>
      <c r="B908" s="26"/>
      <c r="C908" s="26"/>
      <c r="D908" s="26"/>
      <c r="E908" s="26"/>
      <c r="F908" s="26"/>
      <c r="G908" s="26"/>
      <c r="H908" s="26"/>
      <c r="I908" s="26"/>
      <c r="J908" s="26"/>
      <c r="K908" s="27"/>
      <c r="L908" s="26"/>
      <c r="M908" s="26"/>
      <c r="N908" s="26"/>
      <c r="O908" s="26"/>
      <c r="P908" s="26"/>
    </row>
    <row r="909">
      <c r="A909" s="26"/>
      <c r="B909" s="26"/>
      <c r="C909" s="26"/>
      <c r="D909" s="26"/>
      <c r="E909" s="26"/>
      <c r="F909" s="26"/>
      <c r="G909" s="26"/>
      <c r="H909" s="26"/>
      <c r="I909" s="26"/>
      <c r="J909" s="26"/>
      <c r="K909" s="27"/>
      <c r="L909" s="26"/>
      <c r="M909" s="26"/>
      <c r="N909" s="26"/>
      <c r="O909" s="26"/>
      <c r="P909" s="26"/>
    </row>
    <row r="910">
      <c r="A910" s="26"/>
      <c r="B910" s="26"/>
      <c r="C910" s="26"/>
      <c r="D910" s="26"/>
      <c r="E910" s="26"/>
      <c r="F910" s="26"/>
      <c r="G910" s="26"/>
      <c r="H910" s="26"/>
      <c r="I910" s="26"/>
      <c r="J910" s="26"/>
      <c r="K910" s="27"/>
      <c r="L910" s="26"/>
      <c r="M910" s="26"/>
      <c r="N910" s="26"/>
      <c r="O910" s="26"/>
      <c r="P910" s="26"/>
    </row>
    <row r="911">
      <c r="A911" s="26"/>
      <c r="B911" s="26"/>
      <c r="C911" s="26"/>
      <c r="D911" s="26"/>
      <c r="E911" s="26"/>
      <c r="F911" s="26"/>
      <c r="G911" s="26"/>
      <c r="H911" s="26"/>
      <c r="I911" s="26"/>
      <c r="J911" s="26"/>
      <c r="K911" s="27"/>
      <c r="L911" s="26"/>
      <c r="M911" s="26"/>
      <c r="N911" s="26"/>
      <c r="O911" s="26"/>
      <c r="P911" s="26"/>
    </row>
    <row r="912">
      <c r="A912" s="26"/>
      <c r="B912" s="26"/>
      <c r="C912" s="26"/>
      <c r="D912" s="26"/>
      <c r="E912" s="26"/>
      <c r="F912" s="26"/>
      <c r="G912" s="26"/>
      <c r="H912" s="26"/>
      <c r="I912" s="26"/>
      <c r="J912" s="26"/>
      <c r="K912" s="27"/>
      <c r="L912" s="26"/>
      <c r="M912" s="26"/>
      <c r="N912" s="26"/>
      <c r="O912" s="26"/>
      <c r="P912" s="26"/>
    </row>
    <row r="913">
      <c r="A913" s="26"/>
      <c r="B913" s="26"/>
      <c r="C913" s="26"/>
      <c r="D913" s="26"/>
      <c r="E913" s="26"/>
      <c r="F913" s="26"/>
      <c r="G913" s="26"/>
      <c r="H913" s="26"/>
      <c r="I913" s="26"/>
      <c r="J913" s="26"/>
      <c r="K913" s="27"/>
      <c r="L913" s="26"/>
      <c r="M913" s="26"/>
      <c r="N913" s="26"/>
      <c r="O913" s="26"/>
      <c r="P913" s="26"/>
    </row>
    <row r="914">
      <c r="A914" s="26"/>
      <c r="B914" s="26"/>
      <c r="C914" s="26"/>
      <c r="D914" s="26"/>
      <c r="E914" s="26"/>
      <c r="F914" s="26"/>
      <c r="G914" s="26"/>
      <c r="H914" s="26"/>
      <c r="I914" s="26"/>
      <c r="J914" s="26"/>
      <c r="K914" s="27"/>
      <c r="L914" s="26"/>
      <c r="M914" s="26"/>
      <c r="N914" s="26"/>
      <c r="O914" s="26"/>
      <c r="P914" s="26"/>
    </row>
    <row r="915">
      <c r="A915" s="26"/>
      <c r="B915" s="26"/>
      <c r="C915" s="26"/>
      <c r="D915" s="26"/>
      <c r="E915" s="26"/>
      <c r="F915" s="26"/>
      <c r="G915" s="26"/>
      <c r="H915" s="26"/>
      <c r="I915" s="26"/>
      <c r="J915" s="26"/>
      <c r="K915" s="27"/>
      <c r="L915" s="26"/>
      <c r="M915" s="26"/>
      <c r="N915" s="26"/>
      <c r="O915" s="26"/>
      <c r="P915" s="26"/>
    </row>
    <row r="916">
      <c r="A916" s="26"/>
      <c r="B916" s="26"/>
      <c r="C916" s="26"/>
      <c r="D916" s="26"/>
      <c r="E916" s="26"/>
      <c r="F916" s="26"/>
      <c r="G916" s="26"/>
      <c r="H916" s="26"/>
      <c r="I916" s="26"/>
      <c r="J916" s="26"/>
      <c r="K916" s="27"/>
      <c r="L916" s="26"/>
      <c r="M916" s="26"/>
      <c r="N916" s="26"/>
      <c r="O916" s="26"/>
      <c r="P916" s="26"/>
    </row>
    <row r="917">
      <c r="A917" s="26"/>
      <c r="B917" s="26"/>
      <c r="C917" s="26"/>
      <c r="D917" s="26"/>
      <c r="E917" s="26"/>
      <c r="F917" s="26"/>
      <c r="G917" s="26"/>
      <c r="H917" s="26"/>
      <c r="I917" s="26"/>
      <c r="J917" s="26"/>
      <c r="K917" s="27"/>
      <c r="L917" s="26"/>
      <c r="M917" s="26"/>
      <c r="N917" s="26"/>
      <c r="O917" s="26"/>
      <c r="P917" s="26"/>
    </row>
    <row r="918">
      <c r="A918" s="26"/>
      <c r="B918" s="26"/>
      <c r="C918" s="26"/>
      <c r="D918" s="26"/>
      <c r="E918" s="26"/>
      <c r="F918" s="26"/>
      <c r="G918" s="26"/>
      <c r="H918" s="26"/>
      <c r="I918" s="26"/>
      <c r="J918" s="26"/>
      <c r="K918" s="27"/>
      <c r="L918" s="26"/>
      <c r="M918" s="26"/>
      <c r="N918" s="26"/>
      <c r="O918" s="26"/>
      <c r="P918" s="26"/>
    </row>
    <row r="919">
      <c r="A919" s="26"/>
      <c r="B919" s="26"/>
      <c r="C919" s="26"/>
      <c r="D919" s="26"/>
      <c r="E919" s="26"/>
      <c r="F919" s="26"/>
      <c r="G919" s="26"/>
      <c r="H919" s="26"/>
      <c r="I919" s="26"/>
      <c r="J919" s="26"/>
      <c r="K919" s="27"/>
      <c r="L919" s="26"/>
      <c r="M919" s="26"/>
      <c r="N919" s="26"/>
      <c r="O919" s="26"/>
      <c r="P919" s="26"/>
    </row>
    <row r="920">
      <c r="A920" s="26"/>
      <c r="B920" s="26"/>
      <c r="C920" s="26"/>
      <c r="D920" s="26"/>
      <c r="E920" s="26"/>
      <c r="F920" s="26"/>
      <c r="G920" s="26"/>
      <c r="H920" s="26"/>
      <c r="I920" s="26"/>
      <c r="J920" s="26"/>
      <c r="K920" s="27"/>
      <c r="L920" s="26"/>
      <c r="M920" s="26"/>
      <c r="N920" s="26"/>
      <c r="O920" s="26"/>
      <c r="P920" s="26"/>
    </row>
    <row r="921">
      <c r="A921" s="26"/>
      <c r="B921" s="26"/>
      <c r="C921" s="26"/>
      <c r="D921" s="26"/>
      <c r="E921" s="26"/>
      <c r="F921" s="26"/>
      <c r="G921" s="26"/>
      <c r="H921" s="26"/>
      <c r="I921" s="26"/>
      <c r="J921" s="26"/>
      <c r="K921" s="27"/>
      <c r="L921" s="26"/>
      <c r="M921" s="26"/>
      <c r="N921" s="26"/>
      <c r="O921" s="26"/>
      <c r="P921" s="26"/>
    </row>
    <row r="922">
      <c r="A922" s="26"/>
      <c r="B922" s="26"/>
      <c r="C922" s="26"/>
      <c r="D922" s="26"/>
      <c r="E922" s="26"/>
      <c r="F922" s="26"/>
      <c r="G922" s="26"/>
      <c r="H922" s="26"/>
      <c r="I922" s="26"/>
      <c r="J922" s="26"/>
      <c r="K922" s="27"/>
      <c r="L922" s="26"/>
      <c r="M922" s="26"/>
      <c r="N922" s="26"/>
      <c r="O922" s="26"/>
      <c r="P922" s="26"/>
    </row>
    <row r="923">
      <c r="A923" s="26"/>
      <c r="B923" s="26"/>
      <c r="C923" s="26"/>
      <c r="D923" s="26"/>
      <c r="E923" s="26"/>
      <c r="F923" s="26"/>
      <c r="G923" s="26"/>
      <c r="H923" s="26"/>
      <c r="I923" s="26"/>
      <c r="J923" s="26"/>
      <c r="K923" s="27"/>
      <c r="L923" s="26"/>
      <c r="M923" s="26"/>
      <c r="N923" s="26"/>
      <c r="O923" s="26"/>
      <c r="P923" s="26"/>
    </row>
    <row r="924">
      <c r="A924" s="26"/>
      <c r="B924" s="26"/>
      <c r="C924" s="26"/>
      <c r="D924" s="26"/>
      <c r="E924" s="26"/>
      <c r="F924" s="26"/>
      <c r="G924" s="26"/>
      <c r="H924" s="26"/>
      <c r="I924" s="26"/>
      <c r="J924" s="26"/>
      <c r="K924" s="27"/>
      <c r="L924" s="26"/>
      <c r="M924" s="26"/>
      <c r="N924" s="26"/>
      <c r="O924" s="26"/>
      <c r="P924" s="26"/>
    </row>
    <row r="925">
      <c r="A925" s="26"/>
      <c r="B925" s="26"/>
      <c r="C925" s="26"/>
      <c r="D925" s="26"/>
      <c r="E925" s="26"/>
      <c r="F925" s="26"/>
      <c r="G925" s="26"/>
      <c r="H925" s="26"/>
      <c r="I925" s="26"/>
      <c r="J925" s="26"/>
      <c r="K925" s="27"/>
      <c r="L925" s="26"/>
      <c r="M925" s="26"/>
      <c r="N925" s="26"/>
      <c r="O925" s="26"/>
      <c r="P925" s="26"/>
    </row>
    <row r="926">
      <c r="A926" s="26"/>
      <c r="B926" s="26"/>
      <c r="C926" s="26"/>
      <c r="D926" s="26"/>
      <c r="E926" s="26"/>
      <c r="F926" s="26"/>
      <c r="G926" s="26"/>
      <c r="H926" s="26"/>
      <c r="I926" s="26"/>
      <c r="J926" s="26"/>
      <c r="K926" s="27"/>
      <c r="L926" s="26"/>
      <c r="M926" s="26"/>
      <c r="N926" s="26"/>
      <c r="O926" s="26"/>
      <c r="P926" s="26"/>
    </row>
    <row r="927">
      <c r="A927" s="26"/>
      <c r="B927" s="26"/>
      <c r="C927" s="26"/>
      <c r="D927" s="26"/>
      <c r="E927" s="26"/>
      <c r="F927" s="26"/>
      <c r="G927" s="26"/>
      <c r="H927" s="26"/>
      <c r="I927" s="26"/>
      <c r="J927" s="26"/>
      <c r="K927" s="27"/>
      <c r="L927" s="26"/>
      <c r="M927" s="26"/>
      <c r="N927" s="26"/>
      <c r="O927" s="26"/>
      <c r="P927" s="26"/>
    </row>
    <row r="928">
      <c r="A928" s="26"/>
      <c r="B928" s="26"/>
      <c r="C928" s="26"/>
      <c r="D928" s="26"/>
      <c r="E928" s="26"/>
      <c r="F928" s="26"/>
      <c r="G928" s="26"/>
      <c r="H928" s="26"/>
      <c r="I928" s="26"/>
      <c r="J928" s="26"/>
      <c r="K928" s="27"/>
      <c r="L928" s="26"/>
      <c r="M928" s="26"/>
      <c r="N928" s="26"/>
      <c r="O928" s="26"/>
      <c r="P928" s="26"/>
    </row>
    <row r="929">
      <c r="A929" s="26"/>
      <c r="B929" s="26"/>
      <c r="C929" s="26"/>
      <c r="D929" s="26"/>
      <c r="E929" s="26"/>
      <c r="F929" s="26"/>
      <c r="G929" s="26"/>
      <c r="H929" s="26"/>
      <c r="I929" s="26"/>
      <c r="J929" s="26"/>
      <c r="K929" s="27"/>
      <c r="L929" s="26"/>
      <c r="M929" s="26"/>
      <c r="N929" s="26"/>
      <c r="O929" s="26"/>
      <c r="P929" s="26"/>
    </row>
    <row r="930">
      <c r="A930" s="26"/>
      <c r="B930" s="26"/>
      <c r="C930" s="26"/>
      <c r="D930" s="26"/>
      <c r="E930" s="26"/>
      <c r="F930" s="26"/>
      <c r="G930" s="26"/>
      <c r="H930" s="26"/>
      <c r="I930" s="26"/>
      <c r="J930" s="26"/>
      <c r="K930" s="27"/>
      <c r="L930" s="26"/>
      <c r="M930" s="26"/>
      <c r="N930" s="26"/>
      <c r="O930" s="26"/>
      <c r="P930" s="26"/>
    </row>
    <row r="931">
      <c r="A931" s="26"/>
      <c r="B931" s="26"/>
      <c r="C931" s="26"/>
      <c r="D931" s="26"/>
      <c r="E931" s="26"/>
      <c r="F931" s="26"/>
      <c r="G931" s="26"/>
      <c r="H931" s="26"/>
      <c r="I931" s="26"/>
      <c r="J931" s="26"/>
      <c r="K931" s="27"/>
      <c r="L931" s="26"/>
      <c r="M931" s="26"/>
      <c r="N931" s="26"/>
      <c r="O931" s="26"/>
      <c r="P931" s="26"/>
    </row>
    <row r="932">
      <c r="A932" s="26"/>
      <c r="B932" s="26"/>
      <c r="C932" s="26"/>
      <c r="D932" s="26"/>
      <c r="E932" s="26"/>
      <c r="F932" s="26"/>
      <c r="G932" s="26"/>
      <c r="H932" s="26"/>
      <c r="I932" s="26"/>
      <c r="J932" s="26"/>
      <c r="K932" s="27"/>
      <c r="L932" s="26"/>
      <c r="M932" s="26"/>
      <c r="N932" s="26"/>
      <c r="O932" s="26"/>
      <c r="P932" s="26"/>
    </row>
    <row r="933">
      <c r="A933" s="26"/>
      <c r="B933" s="26"/>
      <c r="C933" s="26"/>
      <c r="D933" s="26"/>
      <c r="E933" s="26"/>
      <c r="F933" s="26"/>
      <c r="G933" s="26"/>
      <c r="H933" s="26"/>
      <c r="I933" s="26"/>
      <c r="J933" s="26"/>
      <c r="K933" s="27"/>
      <c r="L933" s="26"/>
      <c r="M933" s="26"/>
      <c r="N933" s="26"/>
      <c r="O933" s="26"/>
      <c r="P933" s="26"/>
    </row>
    <row r="934">
      <c r="A934" s="26"/>
      <c r="B934" s="26"/>
      <c r="C934" s="26"/>
      <c r="D934" s="26"/>
      <c r="E934" s="26"/>
      <c r="F934" s="26"/>
      <c r="G934" s="26"/>
      <c r="H934" s="26"/>
      <c r="I934" s="26"/>
      <c r="J934" s="26"/>
      <c r="K934" s="27"/>
      <c r="L934" s="26"/>
      <c r="M934" s="26"/>
      <c r="N934" s="26"/>
      <c r="O934" s="26"/>
      <c r="P934" s="26"/>
    </row>
    <row r="935">
      <c r="A935" s="26"/>
      <c r="B935" s="26"/>
      <c r="C935" s="26"/>
      <c r="D935" s="26"/>
      <c r="E935" s="26"/>
      <c r="F935" s="26"/>
      <c r="G935" s="26"/>
      <c r="H935" s="26"/>
      <c r="I935" s="26"/>
      <c r="J935" s="26"/>
      <c r="K935" s="27"/>
      <c r="L935" s="26"/>
      <c r="M935" s="26"/>
      <c r="N935" s="26"/>
      <c r="O935" s="26"/>
      <c r="P935" s="26"/>
    </row>
    <row r="936">
      <c r="A936" s="26"/>
      <c r="B936" s="26"/>
      <c r="C936" s="26"/>
      <c r="D936" s="26"/>
      <c r="E936" s="26"/>
      <c r="F936" s="26"/>
      <c r="G936" s="26"/>
      <c r="H936" s="26"/>
      <c r="I936" s="26"/>
      <c r="J936" s="26"/>
      <c r="K936" s="27"/>
      <c r="L936" s="26"/>
      <c r="M936" s="26"/>
      <c r="N936" s="26"/>
      <c r="O936" s="26"/>
      <c r="P936" s="26"/>
    </row>
    <row r="937">
      <c r="A937" s="26"/>
      <c r="B937" s="26"/>
      <c r="C937" s="26"/>
      <c r="D937" s="26"/>
      <c r="E937" s="26"/>
      <c r="F937" s="26"/>
      <c r="G937" s="26"/>
      <c r="H937" s="26"/>
      <c r="I937" s="26"/>
      <c r="J937" s="26"/>
      <c r="K937" s="27"/>
      <c r="L937" s="26"/>
      <c r="M937" s="26"/>
      <c r="N937" s="26"/>
      <c r="O937" s="26"/>
      <c r="P937" s="26"/>
    </row>
    <row r="938">
      <c r="A938" s="26"/>
      <c r="B938" s="26"/>
      <c r="C938" s="26"/>
      <c r="D938" s="26"/>
      <c r="E938" s="26"/>
      <c r="F938" s="26"/>
      <c r="G938" s="26"/>
      <c r="H938" s="26"/>
      <c r="I938" s="26"/>
      <c r="J938" s="26"/>
      <c r="K938" s="27"/>
      <c r="L938" s="26"/>
      <c r="M938" s="26"/>
      <c r="N938" s="26"/>
      <c r="O938" s="26"/>
      <c r="P938" s="26"/>
    </row>
    <row r="939">
      <c r="A939" s="26"/>
      <c r="B939" s="26"/>
      <c r="C939" s="26"/>
      <c r="D939" s="26"/>
      <c r="E939" s="26"/>
      <c r="F939" s="26"/>
      <c r="G939" s="26"/>
      <c r="H939" s="26"/>
      <c r="I939" s="26"/>
      <c r="J939" s="26"/>
      <c r="K939" s="27"/>
      <c r="L939" s="26"/>
      <c r="M939" s="26"/>
      <c r="N939" s="26"/>
      <c r="O939" s="26"/>
      <c r="P939" s="26"/>
    </row>
    <row r="940">
      <c r="A940" s="26"/>
      <c r="B940" s="26"/>
      <c r="C940" s="26"/>
      <c r="D940" s="26"/>
      <c r="E940" s="26"/>
      <c r="F940" s="26"/>
      <c r="G940" s="26"/>
      <c r="H940" s="26"/>
      <c r="I940" s="26"/>
      <c r="J940" s="26"/>
      <c r="K940" s="27"/>
      <c r="L940" s="26"/>
      <c r="M940" s="26"/>
      <c r="N940" s="26"/>
      <c r="O940" s="26"/>
      <c r="P940" s="26"/>
    </row>
    <row r="941">
      <c r="A941" s="26"/>
      <c r="B941" s="26"/>
      <c r="C941" s="26"/>
      <c r="D941" s="26"/>
      <c r="E941" s="26"/>
      <c r="F941" s="26"/>
      <c r="G941" s="26"/>
      <c r="H941" s="26"/>
      <c r="I941" s="26"/>
      <c r="J941" s="26"/>
      <c r="K941" s="27"/>
      <c r="L941" s="26"/>
      <c r="M941" s="26"/>
      <c r="N941" s="26"/>
      <c r="O941" s="26"/>
      <c r="P941" s="26"/>
    </row>
    <row r="942">
      <c r="A942" s="26"/>
      <c r="B942" s="26"/>
      <c r="C942" s="26"/>
      <c r="D942" s="26"/>
      <c r="E942" s="26"/>
      <c r="F942" s="26"/>
      <c r="G942" s="26"/>
      <c r="H942" s="26"/>
      <c r="I942" s="26"/>
      <c r="J942" s="26"/>
      <c r="K942" s="27"/>
      <c r="L942" s="26"/>
      <c r="M942" s="26"/>
      <c r="N942" s="26"/>
      <c r="O942" s="26"/>
      <c r="P942" s="26"/>
    </row>
    <row r="943">
      <c r="A943" s="26"/>
      <c r="B943" s="26"/>
      <c r="C943" s="26"/>
      <c r="D943" s="26"/>
      <c r="E943" s="26"/>
      <c r="F943" s="26"/>
      <c r="G943" s="26"/>
      <c r="H943" s="26"/>
      <c r="I943" s="26"/>
      <c r="J943" s="26"/>
      <c r="K943" s="27"/>
      <c r="L943" s="26"/>
      <c r="M943" s="26"/>
      <c r="N943" s="26"/>
      <c r="O943" s="26"/>
      <c r="P943" s="26"/>
    </row>
    <row r="944">
      <c r="A944" s="26"/>
      <c r="B944" s="26"/>
      <c r="C944" s="26"/>
      <c r="D944" s="26"/>
      <c r="E944" s="26"/>
      <c r="F944" s="26"/>
      <c r="G944" s="26"/>
      <c r="H944" s="26"/>
      <c r="I944" s="26"/>
      <c r="J944" s="26"/>
      <c r="K944" s="27"/>
      <c r="L944" s="26"/>
      <c r="M944" s="26"/>
      <c r="N944" s="26"/>
      <c r="O944" s="26"/>
      <c r="P944" s="26"/>
    </row>
    <row r="945">
      <c r="A945" s="26"/>
      <c r="B945" s="26"/>
      <c r="C945" s="26"/>
      <c r="D945" s="26"/>
      <c r="E945" s="26"/>
      <c r="F945" s="26"/>
      <c r="G945" s="26"/>
      <c r="H945" s="26"/>
      <c r="I945" s="26"/>
      <c r="J945" s="26"/>
      <c r="K945" s="27"/>
      <c r="L945" s="26"/>
      <c r="M945" s="26"/>
      <c r="N945" s="26"/>
      <c r="O945" s="26"/>
      <c r="P945" s="26"/>
    </row>
    <row r="946">
      <c r="A946" s="26"/>
      <c r="B946" s="26"/>
      <c r="C946" s="26"/>
      <c r="D946" s="26"/>
      <c r="E946" s="26"/>
      <c r="F946" s="26"/>
      <c r="G946" s="26"/>
      <c r="H946" s="26"/>
      <c r="I946" s="26"/>
      <c r="J946" s="26"/>
      <c r="K946" s="27"/>
      <c r="L946" s="26"/>
      <c r="M946" s="26"/>
      <c r="N946" s="26"/>
      <c r="O946" s="26"/>
      <c r="P946" s="26"/>
    </row>
    <row r="947">
      <c r="A947" s="26"/>
      <c r="B947" s="26"/>
      <c r="C947" s="26"/>
      <c r="D947" s="26"/>
      <c r="E947" s="26"/>
      <c r="F947" s="26"/>
      <c r="G947" s="26"/>
      <c r="H947" s="26"/>
      <c r="I947" s="26"/>
      <c r="J947" s="26"/>
      <c r="K947" s="27"/>
      <c r="L947" s="26"/>
      <c r="M947" s="26"/>
      <c r="N947" s="26"/>
      <c r="O947" s="26"/>
      <c r="P947" s="26"/>
    </row>
    <row r="948">
      <c r="A948" s="26"/>
      <c r="B948" s="26"/>
      <c r="C948" s="26"/>
      <c r="D948" s="26"/>
      <c r="E948" s="26"/>
      <c r="F948" s="26"/>
      <c r="G948" s="26"/>
      <c r="H948" s="26"/>
      <c r="I948" s="26"/>
      <c r="J948" s="26"/>
      <c r="K948" s="27"/>
      <c r="L948" s="26"/>
      <c r="M948" s="26"/>
      <c r="N948" s="26"/>
      <c r="O948" s="26"/>
      <c r="P948" s="26"/>
    </row>
    <row r="949">
      <c r="A949" s="26"/>
      <c r="B949" s="26"/>
      <c r="C949" s="26"/>
      <c r="D949" s="26"/>
      <c r="E949" s="26"/>
      <c r="F949" s="26"/>
      <c r="G949" s="26"/>
      <c r="H949" s="26"/>
      <c r="I949" s="26"/>
      <c r="J949" s="26"/>
      <c r="K949" s="27"/>
      <c r="L949" s="26"/>
      <c r="M949" s="26"/>
      <c r="N949" s="26"/>
      <c r="O949" s="26"/>
      <c r="P949" s="26"/>
    </row>
    <row r="950">
      <c r="A950" s="26"/>
      <c r="B950" s="26"/>
      <c r="C950" s="26"/>
      <c r="D950" s="26"/>
      <c r="E950" s="26"/>
      <c r="F950" s="26"/>
      <c r="G950" s="26"/>
      <c r="H950" s="26"/>
      <c r="I950" s="26"/>
      <c r="J950" s="26"/>
      <c r="K950" s="27"/>
      <c r="L950" s="26"/>
      <c r="M950" s="26"/>
      <c r="N950" s="26"/>
      <c r="O950" s="26"/>
      <c r="P950" s="26"/>
    </row>
    <row r="951">
      <c r="A951" s="26"/>
      <c r="B951" s="26"/>
      <c r="C951" s="26"/>
      <c r="D951" s="26"/>
      <c r="E951" s="26"/>
      <c r="F951" s="26"/>
      <c r="G951" s="26"/>
      <c r="H951" s="26"/>
      <c r="I951" s="26"/>
      <c r="J951" s="26"/>
      <c r="K951" s="27"/>
      <c r="L951" s="26"/>
      <c r="M951" s="26"/>
      <c r="N951" s="26"/>
      <c r="O951" s="26"/>
      <c r="P951" s="26"/>
    </row>
    <row r="952">
      <c r="A952" s="26"/>
      <c r="B952" s="26"/>
      <c r="C952" s="26"/>
      <c r="D952" s="26"/>
      <c r="E952" s="26"/>
      <c r="F952" s="26"/>
      <c r="G952" s="26"/>
      <c r="H952" s="26"/>
      <c r="I952" s="26"/>
      <c r="J952" s="26"/>
      <c r="K952" s="27"/>
      <c r="L952" s="26"/>
      <c r="M952" s="26"/>
      <c r="N952" s="26"/>
      <c r="O952" s="26"/>
      <c r="P952" s="26"/>
    </row>
    <row r="953">
      <c r="A953" s="26"/>
      <c r="B953" s="26"/>
      <c r="C953" s="26"/>
      <c r="D953" s="26"/>
      <c r="E953" s="26"/>
      <c r="F953" s="26"/>
      <c r="G953" s="26"/>
      <c r="H953" s="26"/>
      <c r="I953" s="26"/>
      <c r="J953" s="26"/>
      <c r="K953" s="27"/>
      <c r="L953" s="26"/>
      <c r="M953" s="26"/>
      <c r="N953" s="26"/>
      <c r="O953" s="26"/>
      <c r="P953" s="26"/>
    </row>
    <row r="954">
      <c r="A954" s="26"/>
      <c r="B954" s="26"/>
      <c r="C954" s="26"/>
      <c r="D954" s="26"/>
      <c r="E954" s="26"/>
      <c r="F954" s="26"/>
      <c r="G954" s="26"/>
      <c r="H954" s="26"/>
      <c r="I954" s="26"/>
      <c r="J954" s="26"/>
      <c r="K954" s="27"/>
      <c r="L954" s="26"/>
      <c r="M954" s="26"/>
      <c r="N954" s="26"/>
      <c r="O954" s="26"/>
      <c r="P954" s="26"/>
    </row>
    <row r="955">
      <c r="A955" s="26"/>
      <c r="B955" s="26"/>
      <c r="C955" s="26"/>
      <c r="D955" s="26"/>
      <c r="E955" s="26"/>
      <c r="F955" s="26"/>
      <c r="G955" s="26"/>
      <c r="H955" s="26"/>
      <c r="I955" s="26"/>
      <c r="J955" s="26"/>
      <c r="K955" s="27"/>
      <c r="L955" s="26"/>
      <c r="M955" s="26"/>
      <c r="N955" s="26"/>
      <c r="O955" s="26"/>
      <c r="P955" s="26"/>
    </row>
    <row r="956">
      <c r="A956" s="26"/>
      <c r="B956" s="26"/>
      <c r="C956" s="26"/>
      <c r="D956" s="26"/>
      <c r="E956" s="26"/>
      <c r="F956" s="26"/>
      <c r="G956" s="26"/>
      <c r="H956" s="26"/>
      <c r="I956" s="26"/>
      <c r="J956" s="26"/>
      <c r="K956" s="27"/>
      <c r="L956" s="26"/>
      <c r="M956" s="26"/>
      <c r="N956" s="26"/>
      <c r="O956" s="26"/>
      <c r="P956" s="26"/>
    </row>
    <row r="957">
      <c r="A957" s="26"/>
      <c r="B957" s="26"/>
      <c r="C957" s="26"/>
      <c r="D957" s="26"/>
      <c r="E957" s="26"/>
      <c r="F957" s="26"/>
      <c r="G957" s="26"/>
      <c r="H957" s="26"/>
      <c r="I957" s="26"/>
      <c r="J957" s="26"/>
      <c r="K957" s="27"/>
      <c r="L957" s="26"/>
      <c r="M957" s="26"/>
      <c r="N957" s="26"/>
      <c r="O957" s="26"/>
      <c r="P957" s="26"/>
    </row>
    <row r="958">
      <c r="A958" s="26"/>
      <c r="B958" s="26"/>
      <c r="C958" s="26"/>
      <c r="D958" s="26"/>
      <c r="E958" s="26"/>
      <c r="F958" s="26"/>
      <c r="G958" s="26"/>
      <c r="H958" s="26"/>
      <c r="I958" s="26"/>
      <c r="J958" s="26"/>
      <c r="K958" s="27"/>
      <c r="L958" s="26"/>
      <c r="M958" s="26"/>
      <c r="N958" s="26"/>
      <c r="O958" s="26"/>
      <c r="P958" s="26"/>
    </row>
    <row r="959">
      <c r="A959" s="26"/>
      <c r="B959" s="26"/>
      <c r="C959" s="26"/>
      <c r="D959" s="26"/>
      <c r="E959" s="26"/>
      <c r="F959" s="26"/>
      <c r="G959" s="26"/>
      <c r="H959" s="26"/>
      <c r="I959" s="26"/>
      <c r="J959" s="26"/>
      <c r="K959" s="27"/>
      <c r="L959" s="26"/>
      <c r="M959" s="26"/>
      <c r="N959" s="26"/>
      <c r="O959" s="26"/>
      <c r="P959" s="26"/>
    </row>
    <row r="960">
      <c r="A960" s="26"/>
      <c r="B960" s="26"/>
      <c r="C960" s="26"/>
      <c r="D960" s="26"/>
      <c r="E960" s="26"/>
      <c r="F960" s="26"/>
      <c r="G960" s="26"/>
      <c r="H960" s="26"/>
      <c r="I960" s="26"/>
      <c r="J960" s="26"/>
      <c r="K960" s="27"/>
      <c r="L960" s="26"/>
      <c r="M960" s="26"/>
      <c r="N960" s="26"/>
      <c r="O960" s="26"/>
      <c r="P960" s="26"/>
    </row>
    <row r="961">
      <c r="A961" s="26"/>
      <c r="B961" s="26"/>
      <c r="C961" s="26"/>
      <c r="D961" s="26"/>
      <c r="E961" s="26"/>
      <c r="F961" s="26"/>
      <c r="G961" s="26"/>
      <c r="H961" s="26"/>
      <c r="I961" s="26"/>
      <c r="J961" s="26"/>
      <c r="K961" s="27"/>
      <c r="L961" s="26"/>
      <c r="M961" s="26"/>
      <c r="N961" s="26"/>
      <c r="O961" s="26"/>
      <c r="P961" s="26"/>
    </row>
    <row r="962">
      <c r="A962" s="26"/>
      <c r="B962" s="26"/>
      <c r="C962" s="26"/>
      <c r="D962" s="26"/>
      <c r="E962" s="26"/>
      <c r="F962" s="26"/>
      <c r="G962" s="26"/>
      <c r="H962" s="26"/>
      <c r="I962" s="26"/>
      <c r="J962" s="26"/>
      <c r="K962" s="27"/>
      <c r="L962" s="26"/>
      <c r="M962" s="26"/>
      <c r="N962" s="26"/>
      <c r="O962" s="26"/>
      <c r="P962" s="26"/>
    </row>
    <row r="963">
      <c r="A963" s="26"/>
      <c r="B963" s="26"/>
      <c r="C963" s="26"/>
      <c r="D963" s="26"/>
      <c r="E963" s="26"/>
      <c r="F963" s="26"/>
      <c r="G963" s="26"/>
      <c r="H963" s="26"/>
      <c r="I963" s="26"/>
      <c r="J963" s="26"/>
      <c r="K963" s="27"/>
      <c r="L963" s="26"/>
      <c r="M963" s="26"/>
      <c r="N963" s="26"/>
      <c r="O963" s="26"/>
      <c r="P963" s="26"/>
    </row>
    <row r="964">
      <c r="A964" s="26"/>
      <c r="B964" s="26"/>
      <c r="C964" s="26"/>
      <c r="D964" s="26"/>
      <c r="E964" s="26"/>
      <c r="F964" s="26"/>
      <c r="G964" s="26"/>
      <c r="H964" s="26"/>
      <c r="I964" s="26"/>
      <c r="J964" s="26"/>
      <c r="K964" s="27"/>
      <c r="L964" s="26"/>
      <c r="M964" s="26"/>
      <c r="N964" s="26"/>
      <c r="O964" s="26"/>
      <c r="P964" s="26"/>
    </row>
    <row r="965">
      <c r="A965" s="26"/>
      <c r="B965" s="26"/>
      <c r="C965" s="26"/>
      <c r="D965" s="26"/>
      <c r="E965" s="26"/>
      <c r="F965" s="26"/>
      <c r="G965" s="26"/>
      <c r="H965" s="26"/>
      <c r="I965" s="26"/>
      <c r="J965" s="26"/>
      <c r="K965" s="27"/>
      <c r="L965" s="26"/>
      <c r="M965" s="26"/>
      <c r="N965" s="26"/>
      <c r="O965" s="26"/>
      <c r="P965" s="26"/>
    </row>
    <row r="966">
      <c r="A966" s="26"/>
      <c r="B966" s="26"/>
      <c r="C966" s="26"/>
      <c r="D966" s="26"/>
      <c r="E966" s="26"/>
      <c r="F966" s="26"/>
      <c r="G966" s="26"/>
      <c r="H966" s="26"/>
      <c r="I966" s="26"/>
      <c r="J966" s="26"/>
      <c r="K966" s="27"/>
      <c r="L966" s="26"/>
      <c r="M966" s="26"/>
      <c r="N966" s="26"/>
      <c r="O966" s="26"/>
      <c r="P966" s="26"/>
    </row>
    <row r="967">
      <c r="A967" s="26"/>
      <c r="B967" s="26"/>
      <c r="C967" s="26"/>
      <c r="D967" s="26"/>
      <c r="E967" s="26"/>
      <c r="F967" s="26"/>
      <c r="G967" s="26"/>
      <c r="H967" s="26"/>
      <c r="I967" s="26"/>
      <c r="J967" s="26"/>
      <c r="K967" s="27"/>
      <c r="L967" s="26"/>
      <c r="M967" s="26"/>
      <c r="N967" s="26"/>
      <c r="O967" s="26"/>
      <c r="P967" s="26"/>
    </row>
    <row r="968">
      <c r="A968" s="26"/>
      <c r="B968" s="26"/>
      <c r="C968" s="26"/>
      <c r="D968" s="26"/>
      <c r="E968" s="26"/>
      <c r="F968" s="26"/>
      <c r="G968" s="26"/>
      <c r="H968" s="26"/>
      <c r="I968" s="26"/>
      <c r="J968" s="26"/>
      <c r="K968" s="27"/>
      <c r="L968" s="26"/>
      <c r="M968" s="26"/>
      <c r="N968" s="26"/>
      <c r="O968" s="26"/>
      <c r="P968" s="26"/>
    </row>
    <row r="969">
      <c r="A969" s="26"/>
      <c r="B969" s="26"/>
      <c r="C969" s="26"/>
      <c r="D969" s="26"/>
      <c r="E969" s="26"/>
      <c r="F969" s="26"/>
      <c r="G969" s="26"/>
      <c r="H969" s="26"/>
      <c r="I969" s="26"/>
      <c r="J969" s="26"/>
      <c r="K969" s="27"/>
      <c r="L969" s="26"/>
      <c r="M969" s="26"/>
      <c r="N969" s="26"/>
      <c r="O969" s="26"/>
      <c r="P969" s="26"/>
    </row>
    <row r="970">
      <c r="A970" s="26"/>
      <c r="B970" s="26"/>
      <c r="C970" s="26"/>
      <c r="D970" s="26"/>
      <c r="E970" s="26"/>
      <c r="F970" s="26"/>
      <c r="G970" s="26"/>
      <c r="H970" s="26"/>
      <c r="I970" s="26"/>
      <c r="J970" s="26"/>
      <c r="K970" s="27"/>
      <c r="L970" s="26"/>
      <c r="M970" s="26"/>
      <c r="N970" s="26"/>
      <c r="O970" s="26"/>
      <c r="P970" s="26"/>
    </row>
    <row r="971">
      <c r="A971" s="26"/>
      <c r="B971" s="26"/>
      <c r="C971" s="26"/>
      <c r="D971" s="26"/>
      <c r="E971" s="26"/>
      <c r="F971" s="26"/>
      <c r="G971" s="26"/>
      <c r="H971" s="26"/>
      <c r="I971" s="26"/>
      <c r="J971" s="26"/>
      <c r="K971" s="27"/>
      <c r="L971" s="26"/>
      <c r="M971" s="26"/>
      <c r="N971" s="26"/>
      <c r="O971" s="26"/>
      <c r="P971" s="26"/>
    </row>
    <row r="972">
      <c r="A972" s="26"/>
      <c r="B972" s="26"/>
      <c r="C972" s="26"/>
      <c r="D972" s="26"/>
      <c r="E972" s="26"/>
      <c r="F972" s="26"/>
      <c r="G972" s="26"/>
      <c r="H972" s="26"/>
      <c r="I972" s="26"/>
      <c r="J972" s="26"/>
      <c r="K972" s="27"/>
      <c r="L972" s="26"/>
      <c r="M972" s="26"/>
      <c r="N972" s="26"/>
      <c r="O972" s="26"/>
      <c r="P972" s="26"/>
    </row>
    <row r="973">
      <c r="A973" s="26"/>
      <c r="B973" s="26"/>
      <c r="C973" s="26"/>
      <c r="D973" s="26"/>
      <c r="E973" s="26"/>
      <c r="F973" s="26"/>
      <c r="G973" s="26"/>
      <c r="H973" s="26"/>
      <c r="I973" s="26"/>
      <c r="J973" s="26"/>
      <c r="K973" s="27"/>
      <c r="L973" s="26"/>
      <c r="M973" s="26"/>
      <c r="N973" s="26"/>
      <c r="O973" s="26"/>
      <c r="P973" s="26"/>
    </row>
    <row r="974">
      <c r="A974" s="26"/>
      <c r="B974" s="26"/>
      <c r="C974" s="26"/>
      <c r="D974" s="26"/>
      <c r="E974" s="26"/>
      <c r="F974" s="26"/>
      <c r="G974" s="26"/>
      <c r="H974" s="26"/>
      <c r="I974" s="26"/>
      <c r="J974" s="26"/>
      <c r="K974" s="27"/>
      <c r="L974" s="26"/>
      <c r="M974" s="26"/>
      <c r="N974" s="26"/>
      <c r="O974" s="26"/>
      <c r="P974" s="26"/>
    </row>
    <row r="975">
      <c r="A975" s="26"/>
      <c r="B975" s="26"/>
      <c r="C975" s="26"/>
      <c r="D975" s="26"/>
      <c r="E975" s="26"/>
      <c r="F975" s="26"/>
      <c r="G975" s="26"/>
      <c r="H975" s="26"/>
      <c r="I975" s="26"/>
      <c r="J975" s="26"/>
      <c r="K975" s="27"/>
      <c r="L975" s="26"/>
      <c r="M975" s="26"/>
      <c r="N975" s="26"/>
      <c r="O975" s="26"/>
      <c r="P975" s="26"/>
    </row>
    <row r="976">
      <c r="A976" s="26"/>
      <c r="B976" s="26"/>
      <c r="C976" s="26"/>
      <c r="D976" s="26"/>
      <c r="E976" s="26"/>
      <c r="F976" s="26"/>
      <c r="G976" s="26"/>
      <c r="H976" s="26"/>
      <c r="I976" s="26"/>
      <c r="J976" s="26"/>
      <c r="K976" s="27"/>
      <c r="L976" s="26"/>
      <c r="M976" s="26"/>
      <c r="N976" s="26"/>
      <c r="O976" s="26"/>
      <c r="P976" s="26"/>
    </row>
    <row r="977">
      <c r="A977" s="26"/>
      <c r="B977" s="26"/>
      <c r="C977" s="26"/>
      <c r="D977" s="26"/>
      <c r="E977" s="26"/>
      <c r="F977" s="26"/>
      <c r="G977" s="26"/>
      <c r="H977" s="26"/>
      <c r="I977" s="26"/>
      <c r="J977" s="26"/>
      <c r="K977" s="27"/>
      <c r="L977" s="26"/>
      <c r="M977" s="26"/>
      <c r="N977" s="26"/>
      <c r="O977" s="26"/>
      <c r="P977" s="26"/>
    </row>
    <row r="978">
      <c r="A978" s="26"/>
      <c r="B978" s="26"/>
      <c r="C978" s="26"/>
      <c r="D978" s="26"/>
      <c r="E978" s="26"/>
      <c r="F978" s="26"/>
      <c r="G978" s="26"/>
      <c r="H978" s="26"/>
      <c r="I978" s="26"/>
      <c r="J978" s="26"/>
      <c r="K978" s="27"/>
      <c r="L978" s="26"/>
      <c r="M978" s="26"/>
      <c r="N978" s="26"/>
      <c r="O978" s="26"/>
      <c r="P978" s="26"/>
    </row>
    <row r="979">
      <c r="A979" s="26"/>
      <c r="B979" s="26"/>
      <c r="C979" s="26"/>
      <c r="D979" s="26"/>
      <c r="E979" s="26"/>
      <c r="F979" s="26"/>
      <c r="G979" s="26"/>
      <c r="H979" s="26"/>
      <c r="I979" s="26"/>
      <c r="J979" s="26"/>
      <c r="K979" s="27"/>
      <c r="L979" s="26"/>
      <c r="M979" s="26"/>
      <c r="N979" s="26"/>
      <c r="O979" s="26"/>
      <c r="P979" s="26"/>
    </row>
    <row r="980">
      <c r="A980" s="26"/>
      <c r="B980" s="26"/>
      <c r="C980" s="26"/>
      <c r="D980" s="26"/>
      <c r="E980" s="26"/>
      <c r="F980" s="26"/>
      <c r="G980" s="26"/>
      <c r="H980" s="26"/>
      <c r="I980" s="26"/>
      <c r="J980" s="26"/>
      <c r="K980" s="27"/>
      <c r="L980" s="26"/>
      <c r="M980" s="26"/>
      <c r="N980" s="26"/>
      <c r="O980" s="26"/>
      <c r="P980" s="26"/>
    </row>
    <row r="981">
      <c r="A981" s="26"/>
      <c r="B981" s="26"/>
      <c r="C981" s="26"/>
      <c r="D981" s="26"/>
      <c r="E981" s="26"/>
      <c r="F981" s="26"/>
      <c r="G981" s="26"/>
      <c r="H981" s="26"/>
      <c r="I981" s="26"/>
      <c r="J981" s="26"/>
      <c r="K981" s="27"/>
      <c r="L981" s="26"/>
      <c r="M981" s="26"/>
      <c r="N981" s="26"/>
      <c r="O981" s="26"/>
      <c r="P981" s="26"/>
    </row>
    <row r="982">
      <c r="A982" s="26"/>
      <c r="B982" s="26"/>
      <c r="C982" s="26"/>
      <c r="D982" s="26"/>
      <c r="E982" s="26"/>
      <c r="F982" s="26"/>
      <c r="G982" s="26"/>
      <c r="H982" s="26"/>
      <c r="I982" s="26"/>
      <c r="J982" s="26"/>
      <c r="K982" s="27"/>
      <c r="L982" s="26"/>
      <c r="M982" s="26"/>
      <c r="N982" s="26"/>
      <c r="O982" s="26"/>
      <c r="P982" s="26"/>
    </row>
    <row r="983">
      <c r="A983" s="26"/>
      <c r="B983" s="26"/>
      <c r="C983" s="26"/>
      <c r="D983" s="26"/>
      <c r="E983" s="26"/>
      <c r="F983" s="26"/>
      <c r="G983" s="26"/>
      <c r="H983" s="26"/>
      <c r="I983" s="26"/>
      <c r="J983" s="26"/>
      <c r="K983" s="27"/>
      <c r="L983" s="26"/>
      <c r="M983" s="26"/>
      <c r="N983" s="26"/>
      <c r="O983" s="26"/>
      <c r="P983" s="26"/>
    </row>
    <row r="984">
      <c r="A984" s="26"/>
      <c r="B984" s="26"/>
      <c r="C984" s="26"/>
      <c r="D984" s="26"/>
      <c r="E984" s="26"/>
      <c r="F984" s="26"/>
      <c r="G984" s="26"/>
      <c r="H984" s="26"/>
      <c r="I984" s="26"/>
      <c r="J984" s="26"/>
      <c r="K984" s="27"/>
      <c r="L984" s="26"/>
      <c r="M984" s="26"/>
      <c r="N984" s="26"/>
      <c r="O984" s="26"/>
      <c r="P984" s="26"/>
    </row>
    <row r="985">
      <c r="A985" s="26"/>
      <c r="B985" s="26"/>
      <c r="C985" s="26"/>
      <c r="D985" s="26"/>
      <c r="E985" s="26"/>
      <c r="F985" s="26"/>
      <c r="G985" s="26"/>
      <c r="H985" s="26"/>
      <c r="I985" s="26"/>
      <c r="J985" s="26"/>
      <c r="K985" s="27"/>
      <c r="L985" s="26"/>
      <c r="M985" s="26"/>
      <c r="N985" s="26"/>
      <c r="O985" s="26"/>
      <c r="P985" s="26"/>
    </row>
    <row r="986">
      <c r="A986" s="26"/>
      <c r="B986" s="26"/>
      <c r="C986" s="26"/>
      <c r="D986" s="26"/>
      <c r="E986" s="26"/>
      <c r="F986" s="26"/>
      <c r="G986" s="26"/>
      <c r="H986" s="26"/>
      <c r="I986" s="26"/>
      <c r="J986" s="26"/>
      <c r="K986" s="27"/>
      <c r="L986" s="26"/>
      <c r="M986" s="26"/>
      <c r="N986" s="26"/>
      <c r="O986" s="26"/>
      <c r="P986" s="26"/>
    </row>
    <row r="987">
      <c r="A987" s="26"/>
      <c r="B987" s="26"/>
      <c r="C987" s="26"/>
      <c r="D987" s="26"/>
      <c r="E987" s="26"/>
      <c r="F987" s="26"/>
      <c r="G987" s="26"/>
      <c r="H987" s="26"/>
      <c r="I987" s="26"/>
      <c r="J987" s="26"/>
      <c r="K987" s="27"/>
      <c r="L987" s="26"/>
      <c r="M987" s="26"/>
      <c r="N987" s="26"/>
      <c r="O987" s="26"/>
      <c r="P987" s="26"/>
    </row>
    <row r="988">
      <c r="A988" s="26"/>
      <c r="B988" s="26"/>
      <c r="C988" s="26"/>
      <c r="D988" s="26"/>
      <c r="E988" s="26"/>
      <c r="F988" s="26"/>
      <c r="G988" s="26"/>
      <c r="H988" s="26"/>
      <c r="I988" s="26"/>
      <c r="J988" s="26"/>
      <c r="K988" s="27"/>
      <c r="L988" s="26"/>
      <c r="M988" s="26"/>
      <c r="N988" s="26"/>
      <c r="O988" s="26"/>
      <c r="P988" s="26"/>
    </row>
    <row r="989">
      <c r="A989" s="26"/>
      <c r="B989" s="26"/>
      <c r="C989" s="26"/>
      <c r="D989" s="26"/>
      <c r="E989" s="26"/>
      <c r="F989" s="26"/>
      <c r="G989" s="26"/>
      <c r="H989" s="26"/>
      <c r="I989" s="26"/>
      <c r="J989" s="26"/>
      <c r="K989" s="27"/>
      <c r="L989" s="26"/>
      <c r="M989" s="26"/>
      <c r="N989" s="26"/>
      <c r="O989" s="26"/>
      <c r="P989" s="26"/>
    </row>
    <row r="990">
      <c r="A990" s="26"/>
      <c r="B990" s="26"/>
      <c r="C990" s="26"/>
      <c r="D990" s="26"/>
      <c r="E990" s="26"/>
      <c r="F990" s="26"/>
      <c r="G990" s="26"/>
      <c r="H990" s="26"/>
      <c r="I990" s="26"/>
      <c r="J990" s="26"/>
      <c r="K990" s="27"/>
      <c r="L990" s="26"/>
      <c r="M990" s="26"/>
      <c r="N990" s="26"/>
      <c r="O990" s="26"/>
      <c r="P990" s="26"/>
    </row>
    <row r="991">
      <c r="A991" s="26"/>
      <c r="B991" s="26"/>
      <c r="C991" s="26"/>
      <c r="D991" s="26"/>
      <c r="E991" s="26"/>
      <c r="F991" s="26"/>
      <c r="G991" s="26"/>
      <c r="H991" s="26"/>
      <c r="I991" s="26"/>
      <c r="J991" s="26"/>
      <c r="K991" s="27"/>
      <c r="L991" s="26"/>
      <c r="M991" s="26"/>
      <c r="N991" s="26"/>
      <c r="O991" s="26"/>
      <c r="P991" s="26"/>
    </row>
    <row r="992">
      <c r="A992" s="26"/>
      <c r="B992" s="26"/>
      <c r="C992" s="26"/>
      <c r="D992" s="26"/>
      <c r="E992" s="26"/>
      <c r="F992" s="26"/>
      <c r="G992" s="26"/>
      <c r="H992" s="26"/>
      <c r="I992" s="26"/>
      <c r="J992" s="26"/>
      <c r="K992" s="27"/>
      <c r="L992" s="26"/>
      <c r="M992" s="26"/>
      <c r="N992" s="26"/>
      <c r="O992" s="26"/>
      <c r="P992" s="26"/>
    </row>
    <row r="993">
      <c r="A993" s="26"/>
      <c r="B993" s="26"/>
      <c r="C993" s="26"/>
      <c r="D993" s="26"/>
      <c r="E993" s="26"/>
      <c r="F993" s="26"/>
      <c r="G993" s="26"/>
      <c r="H993" s="26"/>
      <c r="I993" s="26"/>
      <c r="J993" s="26"/>
      <c r="K993" s="27"/>
      <c r="L993" s="26"/>
      <c r="M993" s="26"/>
      <c r="N993" s="26"/>
      <c r="O993" s="26"/>
      <c r="P993" s="26"/>
    </row>
    <row r="994">
      <c r="A994" s="26"/>
      <c r="B994" s="26"/>
      <c r="C994" s="26"/>
      <c r="D994" s="26"/>
      <c r="E994" s="26"/>
      <c r="F994" s="26"/>
      <c r="G994" s="26"/>
      <c r="H994" s="26"/>
      <c r="I994" s="26"/>
      <c r="J994" s="26"/>
      <c r="K994" s="27"/>
      <c r="L994" s="26"/>
      <c r="M994" s="26"/>
      <c r="N994" s="26"/>
      <c r="O994" s="26"/>
      <c r="P994" s="26"/>
    </row>
    <row r="995">
      <c r="A995" s="26"/>
      <c r="B995" s="26"/>
      <c r="C995" s="26"/>
      <c r="D995" s="26"/>
      <c r="E995" s="26"/>
      <c r="F995" s="26"/>
      <c r="G995" s="26"/>
      <c r="H995" s="26"/>
      <c r="I995" s="26"/>
      <c r="J995" s="26"/>
      <c r="K995" s="27"/>
      <c r="L995" s="26"/>
      <c r="M995" s="26"/>
      <c r="N995" s="26"/>
      <c r="O995" s="26"/>
      <c r="P995" s="26"/>
    </row>
    <row r="996">
      <c r="A996" s="26"/>
      <c r="B996" s="26"/>
      <c r="C996" s="26"/>
      <c r="D996" s="26"/>
      <c r="E996" s="26"/>
      <c r="F996" s="26"/>
      <c r="G996" s="26"/>
      <c r="H996" s="26"/>
      <c r="I996" s="26"/>
      <c r="J996" s="26"/>
      <c r="K996" s="27"/>
      <c r="L996" s="26"/>
      <c r="M996" s="26"/>
      <c r="N996" s="26"/>
      <c r="O996" s="26"/>
      <c r="P996" s="26"/>
    </row>
    <row r="997">
      <c r="A997" s="26"/>
      <c r="B997" s="26"/>
      <c r="C997" s="26"/>
      <c r="D997" s="26"/>
      <c r="E997" s="26"/>
      <c r="F997" s="26"/>
      <c r="G997" s="26"/>
      <c r="H997" s="26"/>
      <c r="I997" s="26"/>
      <c r="J997" s="26"/>
      <c r="K997" s="27"/>
      <c r="L997" s="26"/>
      <c r="M997" s="26"/>
      <c r="N997" s="26"/>
      <c r="O997" s="26"/>
      <c r="P997" s="26"/>
    </row>
    <row r="998">
      <c r="A998" s="26"/>
      <c r="B998" s="26"/>
      <c r="C998" s="26"/>
      <c r="D998" s="26"/>
      <c r="E998" s="26"/>
      <c r="F998" s="26"/>
      <c r="G998" s="26"/>
      <c r="H998" s="26"/>
      <c r="I998" s="26"/>
      <c r="J998" s="26"/>
      <c r="K998" s="27"/>
      <c r="L998" s="26"/>
      <c r="M998" s="26"/>
      <c r="N998" s="26"/>
      <c r="O998" s="26"/>
      <c r="P998" s="26"/>
    </row>
    <row r="999">
      <c r="A999" s="26"/>
      <c r="B999" s="26"/>
      <c r="C999" s="26"/>
      <c r="D999" s="26"/>
      <c r="E999" s="26"/>
      <c r="F999" s="26"/>
      <c r="G999" s="26"/>
      <c r="H999" s="26"/>
      <c r="I999" s="26"/>
      <c r="J999" s="26"/>
      <c r="K999" s="27"/>
      <c r="L999" s="26"/>
      <c r="M999" s="26"/>
      <c r="N999" s="26"/>
      <c r="O999" s="26"/>
      <c r="P999" s="26"/>
    </row>
  </sheetData>
  <drawing r:id="rId1"/>
</worksheet>
</file>